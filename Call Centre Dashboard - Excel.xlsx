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https://d.docs.live.net/35b738e3eb2a68a0/Upskill/PerProRme/Excel/Project 2/"/>
    </mc:Choice>
  </mc:AlternateContent>
  <xr:revisionPtr revIDLastSave="0" documentId="8_{F12B67A1-5E3E-42EF-8E76-B2F00AC38C1E}" xr6:coauthVersionLast="47" xr6:coauthVersionMax="47" xr10:uidLastSave="{00000000-0000-0000-0000-000000000000}"/>
  <bookViews>
    <workbookView xWindow="-110" yWindow="-110" windowWidth="19420" windowHeight="10300" xr2:uid="{26D4546B-D2A1-4444-8EAF-A6228F96F0C1}"/>
  </bookViews>
  <sheets>
    <sheet name="Customer Centre Report" sheetId="5" r:id="rId1"/>
    <sheet name="Data" sheetId="2" r:id="rId2"/>
    <sheet name="Assets" sheetId="4" r:id="rId3"/>
    <sheet name="Pivots" sheetId="6" r:id="rId4"/>
  </sheets>
  <definedNames>
    <definedName name="_xlnm._FilterDatabase" localSheetId="1"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591" r:id="rId5"/>
    <pivotCache cacheId="593" r:id="rId6"/>
    <pivotCache cacheId="597" r:id="rId7"/>
    <pivotCache cacheId="639" r:id="rId8"/>
    <pivotCache cacheId="912" r:id="rId9"/>
    <pivotCache cacheId="915" r:id="rId10"/>
    <pivotCache cacheId="918" r:id="rId11"/>
    <pivotCache cacheId="921" r:id="rId12"/>
    <pivotCache cacheId="924" r:id="rId13"/>
  </pivotCaches>
  <fileRecoveryPr repairLoad="1"/>
  <extLst>
    <ext xmlns:x14="http://schemas.microsoft.com/office/spreadsheetml/2009/9/main" uri="{876F7934-8845-4945-9796-88D515C7AA90}">
      <x14:pivotCaches>
        <pivotCache cacheId="4"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6" i="6" l="1"/>
  <c r="P16" i="5" a="1"/>
  <c r="P16" i="5" s="1"/>
  <c r="J40" i="6"/>
  <c r="F43" i="6" a="1"/>
  <c r="F43" i="6" s="1"/>
  <c r="N44" i="6" s="1"/>
  <c r="N47" i="6" s="1"/>
  <c r="N53" i="6" s="1"/>
  <c r="M31" i="5" s="1"/>
  <c r="L1003" i="2"/>
  <c r="K1003" i="2"/>
  <c r="K1003" i="2" a="1"/>
  <c r="J1003" i="2"/>
  <c r="I1003" i="2"/>
  <c r="L1002" i="2"/>
  <c r="K1002" i="2"/>
  <c r="K1002" i="2" a="1"/>
  <c r="J1002" i="2"/>
  <c r="I1002" i="2"/>
  <c r="L1001" i="2"/>
  <c r="K1001" i="2"/>
  <c r="K1001" i="2" a="1"/>
  <c r="J1001" i="2"/>
  <c r="I1001" i="2"/>
  <c r="L1000" i="2"/>
  <c r="K1000" i="2"/>
  <c r="K1000" i="2" a="1"/>
  <c r="J1000" i="2"/>
  <c r="I1000" i="2"/>
  <c r="L999" i="2"/>
  <c r="K999" i="2"/>
  <c r="K999" i="2" a="1"/>
  <c r="J999" i="2"/>
  <c r="I999" i="2"/>
  <c r="L998" i="2"/>
  <c r="K998" i="2"/>
  <c r="K998" i="2" a="1"/>
  <c r="J998" i="2"/>
  <c r="I998" i="2"/>
  <c r="L997" i="2"/>
  <c r="K997" i="2"/>
  <c r="K997" i="2" a="1"/>
  <c r="J997" i="2"/>
  <c r="I997" i="2"/>
  <c r="L996" i="2"/>
  <c r="K996" i="2"/>
  <c r="K996" i="2" a="1"/>
  <c r="J996" i="2"/>
  <c r="I996" i="2"/>
  <c r="L995" i="2"/>
  <c r="K995" i="2"/>
  <c r="K995" i="2" a="1"/>
  <c r="J995" i="2"/>
  <c r="I995" i="2"/>
  <c r="L994" i="2"/>
  <c r="K994" i="2"/>
  <c r="K994" i="2" a="1"/>
  <c r="J994" i="2"/>
  <c r="I994" i="2"/>
  <c r="L993" i="2"/>
  <c r="K993" i="2"/>
  <c r="K993" i="2" a="1"/>
  <c r="J993" i="2"/>
  <c r="I993" i="2"/>
  <c r="L992" i="2"/>
  <c r="K992" i="2"/>
  <c r="K992" i="2" a="1"/>
  <c r="J992" i="2"/>
  <c r="I992" i="2"/>
  <c r="L991" i="2"/>
  <c r="K991" i="2"/>
  <c r="K991" i="2" a="1"/>
  <c r="J991" i="2"/>
  <c r="I991" i="2"/>
  <c r="L990" i="2"/>
  <c r="K990" i="2"/>
  <c r="K990" i="2" a="1"/>
  <c r="J990" i="2"/>
  <c r="I990" i="2"/>
  <c r="L989" i="2"/>
  <c r="K989" i="2"/>
  <c r="K989" i="2" a="1"/>
  <c r="J989" i="2"/>
  <c r="I989" i="2"/>
  <c r="L988" i="2"/>
  <c r="K988" i="2"/>
  <c r="K988" i="2" a="1"/>
  <c r="J988" i="2"/>
  <c r="I988" i="2"/>
  <c r="L987" i="2"/>
  <c r="K987" i="2"/>
  <c r="K987" i="2" a="1"/>
  <c r="J987" i="2"/>
  <c r="I987" i="2"/>
  <c r="L986" i="2"/>
  <c r="K986" i="2"/>
  <c r="K986" i="2" a="1"/>
  <c r="J986" i="2"/>
  <c r="I986" i="2"/>
  <c r="L985" i="2"/>
  <c r="K985" i="2"/>
  <c r="K985" i="2" a="1"/>
  <c r="J985" i="2"/>
  <c r="I985" i="2"/>
  <c r="L984" i="2"/>
  <c r="K984" i="2"/>
  <c r="K984" i="2" a="1"/>
  <c r="J984" i="2"/>
  <c r="I984" i="2"/>
  <c r="L983" i="2"/>
  <c r="K983" i="2"/>
  <c r="K983" i="2" a="1"/>
  <c r="J983" i="2"/>
  <c r="I983" i="2"/>
  <c r="L982" i="2"/>
  <c r="K982" i="2"/>
  <c r="K982" i="2" a="1"/>
  <c r="J982" i="2"/>
  <c r="I982" i="2"/>
  <c r="L981" i="2"/>
  <c r="K981" i="2"/>
  <c r="K981" i="2" a="1"/>
  <c r="J981" i="2"/>
  <c r="I981" i="2"/>
  <c r="L980" i="2"/>
  <c r="K980" i="2"/>
  <c r="K980" i="2" a="1"/>
  <c r="J980" i="2"/>
  <c r="I980" i="2"/>
  <c r="L979" i="2"/>
  <c r="K979" i="2"/>
  <c r="K979" i="2" a="1"/>
  <c r="J979" i="2"/>
  <c r="I979" i="2"/>
  <c r="L978" i="2"/>
  <c r="K978" i="2"/>
  <c r="K978" i="2" a="1"/>
  <c r="J978" i="2"/>
  <c r="I978" i="2"/>
  <c r="L977" i="2"/>
  <c r="K977" i="2"/>
  <c r="K977" i="2" a="1"/>
  <c r="J977" i="2"/>
  <c r="I977" i="2"/>
  <c r="L976" i="2"/>
  <c r="K976" i="2"/>
  <c r="K976" i="2" a="1"/>
  <c r="J976" i="2"/>
  <c r="I976" i="2"/>
  <c r="L975" i="2"/>
  <c r="K975" i="2"/>
  <c r="K975" i="2" a="1"/>
  <c r="J975" i="2"/>
  <c r="I975" i="2"/>
  <c r="L974" i="2"/>
  <c r="K974" i="2"/>
  <c r="K974" i="2" a="1"/>
  <c r="J974" i="2"/>
  <c r="I974" i="2"/>
  <c r="L973" i="2"/>
  <c r="K973" i="2"/>
  <c r="K973" i="2" a="1"/>
  <c r="J973" i="2"/>
  <c r="I973" i="2"/>
  <c r="L972" i="2"/>
  <c r="K972" i="2"/>
  <c r="K972" i="2" a="1"/>
  <c r="J972" i="2"/>
  <c r="I972" i="2"/>
  <c r="L971" i="2"/>
  <c r="K971" i="2"/>
  <c r="K971" i="2" a="1"/>
  <c r="J971" i="2"/>
  <c r="I971" i="2"/>
  <c r="L970" i="2"/>
  <c r="K970" i="2"/>
  <c r="K970" i="2" a="1"/>
  <c r="J970" i="2"/>
  <c r="I970" i="2"/>
  <c r="L969" i="2"/>
  <c r="K969" i="2"/>
  <c r="K969" i="2" a="1"/>
  <c r="J969" i="2"/>
  <c r="I969" i="2"/>
  <c r="L968" i="2"/>
  <c r="K968" i="2"/>
  <c r="K968" i="2" a="1"/>
  <c r="J968" i="2"/>
  <c r="I968" i="2"/>
  <c r="L967" i="2"/>
  <c r="K967" i="2"/>
  <c r="K967" i="2" a="1"/>
  <c r="J967" i="2"/>
  <c r="I967" i="2"/>
  <c r="L966" i="2"/>
  <c r="K966" i="2"/>
  <c r="K966" i="2" a="1"/>
  <c r="J966" i="2"/>
  <c r="I966" i="2"/>
  <c r="L965" i="2"/>
  <c r="K965" i="2"/>
  <c r="K965" i="2" a="1"/>
  <c r="J965" i="2"/>
  <c r="I965" i="2"/>
  <c r="L964" i="2"/>
  <c r="K964" i="2"/>
  <c r="K964" i="2" a="1"/>
  <c r="J964" i="2"/>
  <c r="I964" i="2"/>
  <c r="L963" i="2"/>
  <c r="K963" i="2"/>
  <c r="K963" i="2" a="1"/>
  <c r="J963" i="2"/>
  <c r="I963" i="2"/>
  <c r="L962" i="2"/>
  <c r="K962" i="2"/>
  <c r="K962" i="2" a="1"/>
  <c r="J962" i="2"/>
  <c r="I962" i="2"/>
  <c r="L961" i="2"/>
  <c r="K961" i="2"/>
  <c r="K961" i="2" a="1"/>
  <c r="J961" i="2"/>
  <c r="I961" i="2"/>
  <c r="L960" i="2"/>
  <c r="K960" i="2"/>
  <c r="K960" i="2" a="1"/>
  <c r="J960" i="2"/>
  <c r="I960" i="2"/>
  <c r="L959" i="2"/>
  <c r="K959" i="2"/>
  <c r="K959" i="2" a="1"/>
  <c r="J959" i="2"/>
  <c r="I959" i="2"/>
  <c r="L958" i="2"/>
  <c r="K958" i="2"/>
  <c r="K958" i="2" a="1"/>
  <c r="J958" i="2"/>
  <c r="I958" i="2"/>
  <c r="L957" i="2"/>
  <c r="K957" i="2"/>
  <c r="K957" i="2" a="1"/>
  <c r="J957" i="2"/>
  <c r="I957" i="2"/>
  <c r="L956" i="2"/>
  <c r="K956" i="2"/>
  <c r="K956" i="2" a="1"/>
  <c r="J956" i="2"/>
  <c r="I956" i="2"/>
  <c r="L955" i="2"/>
  <c r="K955" i="2"/>
  <c r="K955" i="2" a="1"/>
  <c r="J955" i="2"/>
  <c r="I955" i="2"/>
  <c r="L954" i="2"/>
  <c r="K954" i="2"/>
  <c r="K954" i="2" a="1"/>
  <c r="J954" i="2"/>
  <c r="I954" i="2"/>
  <c r="L953" i="2"/>
  <c r="K953" i="2"/>
  <c r="K953" i="2" a="1"/>
  <c r="J953" i="2"/>
  <c r="I953" i="2"/>
  <c r="L952" i="2"/>
  <c r="K952" i="2"/>
  <c r="K952" i="2" a="1"/>
  <c r="J952" i="2"/>
  <c r="I952" i="2"/>
  <c r="L951" i="2"/>
  <c r="K951" i="2"/>
  <c r="K951" i="2" a="1"/>
  <c r="J951" i="2"/>
  <c r="I951" i="2"/>
  <c r="L950" i="2"/>
  <c r="K950" i="2"/>
  <c r="K950" i="2" a="1"/>
  <c r="J950" i="2"/>
  <c r="I950" i="2"/>
  <c r="L949" i="2"/>
  <c r="K949" i="2"/>
  <c r="K949" i="2" a="1"/>
  <c r="J949" i="2"/>
  <c r="I949" i="2"/>
  <c r="L948" i="2"/>
  <c r="K948" i="2"/>
  <c r="K948" i="2" a="1"/>
  <c r="J948" i="2"/>
  <c r="I948" i="2"/>
  <c r="L947" i="2"/>
  <c r="K947" i="2"/>
  <c r="K947" i="2" a="1"/>
  <c r="J947" i="2"/>
  <c r="I947" i="2"/>
  <c r="L946" i="2"/>
  <c r="K946" i="2"/>
  <c r="K946" i="2" a="1"/>
  <c r="J946" i="2"/>
  <c r="I946" i="2"/>
  <c r="L945" i="2"/>
  <c r="K945" i="2"/>
  <c r="K945" i="2" a="1"/>
  <c r="J945" i="2"/>
  <c r="I945" i="2"/>
  <c r="L944" i="2"/>
  <c r="K944" i="2"/>
  <c r="K944" i="2" a="1"/>
  <c r="J944" i="2"/>
  <c r="I944" i="2"/>
  <c r="L943" i="2"/>
  <c r="K943" i="2"/>
  <c r="K943" i="2" a="1"/>
  <c r="J943" i="2"/>
  <c r="I943" i="2"/>
  <c r="L942" i="2"/>
  <c r="K942" i="2"/>
  <c r="K942" i="2" a="1"/>
  <c r="J942" i="2"/>
  <c r="I942" i="2"/>
  <c r="L941" i="2"/>
  <c r="K941" i="2"/>
  <c r="K941" i="2" a="1"/>
  <c r="J941" i="2"/>
  <c r="I941" i="2"/>
  <c r="L940" i="2"/>
  <c r="K940" i="2"/>
  <c r="K940" i="2" a="1"/>
  <c r="J940" i="2"/>
  <c r="I940" i="2"/>
  <c r="L939" i="2"/>
  <c r="K939" i="2"/>
  <c r="K939" i="2" a="1"/>
  <c r="J939" i="2"/>
  <c r="I939" i="2"/>
  <c r="L938" i="2"/>
  <c r="K938" i="2"/>
  <c r="K938" i="2" a="1"/>
  <c r="J938" i="2"/>
  <c r="I938" i="2"/>
  <c r="L937" i="2"/>
  <c r="K937" i="2"/>
  <c r="K937" i="2" a="1"/>
  <c r="J937" i="2"/>
  <c r="I937" i="2"/>
  <c r="L936" i="2"/>
  <c r="K936" i="2"/>
  <c r="K936" i="2" a="1"/>
  <c r="J936" i="2"/>
  <c r="I936" i="2"/>
  <c r="L935" i="2"/>
  <c r="K935" i="2"/>
  <c r="K935" i="2" a="1"/>
  <c r="J935" i="2"/>
  <c r="I935" i="2"/>
  <c r="L934" i="2"/>
  <c r="K934" i="2"/>
  <c r="K934" i="2" a="1"/>
  <c r="J934" i="2"/>
  <c r="I934" i="2"/>
  <c r="L933" i="2"/>
  <c r="K933" i="2"/>
  <c r="K933" i="2" a="1"/>
  <c r="J933" i="2"/>
  <c r="I933" i="2"/>
  <c r="L932" i="2"/>
  <c r="K932" i="2"/>
  <c r="K932" i="2" a="1"/>
  <c r="J932" i="2"/>
  <c r="I932" i="2"/>
  <c r="L931" i="2"/>
  <c r="K931" i="2"/>
  <c r="K931" i="2" a="1"/>
  <c r="J931" i="2"/>
  <c r="I931" i="2"/>
  <c r="L930" i="2"/>
  <c r="K930" i="2"/>
  <c r="K930" i="2" a="1"/>
  <c r="J930" i="2"/>
  <c r="I930" i="2"/>
  <c r="L929" i="2"/>
  <c r="K929" i="2"/>
  <c r="K929" i="2" a="1"/>
  <c r="J929" i="2"/>
  <c r="I929" i="2"/>
  <c r="L928" i="2"/>
  <c r="K928" i="2"/>
  <c r="K928" i="2" a="1"/>
  <c r="J928" i="2"/>
  <c r="I928" i="2"/>
  <c r="L927" i="2"/>
  <c r="K927" i="2"/>
  <c r="K927" i="2" a="1"/>
  <c r="J927" i="2"/>
  <c r="I927" i="2"/>
  <c r="L926" i="2"/>
  <c r="K926" i="2"/>
  <c r="K926" i="2" a="1"/>
  <c r="J926" i="2"/>
  <c r="I926" i="2"/>
  <c r="L925" i="2"/>
  <c r="K925" i="2"/>
  <c r="K925" i="2" a="1"/>
  <c r="J925" i="2"/>
  <c r="I925" i="2"/>
  <c r="L924" i="2"/>
  <c r="K924" i="2"/>
  <c r="K924" i="2" a="1"/>
  <c r="J924" i="2"/>
  <c r="I924" i="2"/>
  <c r="L923" i="2"/>
  <c r="K923" i="2"/>
  <c r="K923" i="2" a="1"/>
  <c r="J923" i="2"/>
  <c r="I923" i="2"/>
  <c r="L922" i="2"/>
  <c r="K922" i="2"/>
  <c r="K922" i="2" a="1"/>
  <c r="J922" i="2"/>
  <c r="I922" i="2"/>
  <c r="L921" i="2"/>
  <c r="K921" i="2"/>
  <c r="K921" i="2" a="1"/>
  <c r="J921" i="2"/>
  <c r="I921" i="2"/>
  <c r="L920" i="2"/>
  <c r="K920" i="2"/>
  <c r="K920" i="2" a="1"/>
  <c r="J920" i="2"/>
  <c r="I920" i="2"/>
  <c r="L919" i="2"/>
  <c r="K919" i="2"/>
  <c r="K919" i="2" a="1"/>
  <c r="J919" i="2"/>
  <c r="I919" i="2"/>
  <c r="L918" i="2"/>
  <c r="K918" i="2"/>
  <c r="K918" i="2" a="1"/>
  <c r="J918" i="2"/>
  <c r="I918" i="2"/>
  <c r="L917" i="2"/>
  <c r="K917" i="2"/>
  <c r="K917" i="2" a="1"/>
  <c r="J917" i="2"/>
  <c r="I917" i="2"/>
  <c r="L916" i="2"/>
  <c r="K916" i="2"/>
  <c r="K916" i="2" a="1"/>
  <c r="J916" i="2"/>
  <c r="I916" i="2"/>
  <c r="L915" i="2"/>
  <c r="K915" i="2"/>
  <c r="K915" i="2" a="1"/>
  <c r="J915" i="2"/>
  <c r="I915" i="2"/>
  <c r="L914" i="2"/>
  <c r="K914" i="2"/>
  <c r="K914" i="2" a="1"/>
  <c r="J914" i="2"/>
  <c r="I914" i="2"/>
  <c r="L913" i="2"/>
  <c r="K913" i="2"/>
  <c r="K913" i="2" a="1"/>
  <c r="J913" i="2"/>
  <c r="I913" i="2"/>
  <c r="L912" i="2"/>
  <c r="K912" i="2"/>
  <c r="K912" i="2" a="1"/>
  <c r="J912" i="2"/>
  <c r="I912" i="2"/>
  <c r="L911" i="2"/>
  <c r="K911" i="2"/>
  <c r="K911" i="2" a="1"/>
  <c r="J911" i="2"/>
  <c r="I911" i="2"/>
  <c r="L910" i="2"/>
  <c r="K910" i="2"/>
  <c r="K910" i="2" a="1"/>
  <c r="J910" i="2"/>
  <c r="I910" i="2"/>
  <c r="L909" i="2"/>
  <c r="K909" i="2"/>
  <c r="K909" i="2" a="1"/>
  <c r="J909" i="2"/>
  <c r="I909" i="2"/>
  <c r="L908" i="2"/>
  <c r="K908" i="2"/>
  <c r="K908" i="2" a="1"/>
  <c r="J908" i="2"/>
  <c r="I908" i="2"/>
  <c r="L907" i="2"/>
  <c r="K907" i="2"/>
  <c r="K907" i="2" a="1"/>
  <c r="J907" i="2"/>
  <c r="I907" i="2"/>
  <c r="L906" i="2"/>
  <c r="K906" i="2"/>
  <c r="K906" i="2" a="1"/>
  <c r="J906" i="2"/>
  <c r="I906" i="2"/>
  <c r="L905" i="2"/>
  <c r="K905" i="2"/>
  <c r="K905" i="2" a="1"/>
  <c r="J905" i="2"/>
  <c r="I905" i="2"/>
  <c r="L904" i="2"/>
  <c r="K904" i="2"/>
  <c r="K904" i="2" a="1"/>
  <c r="J904" i="2"/>
  <c r="I904" i="2"/>
  <c r="L903" i="2"/>
  <c r="K903" i="2"/>
  <c r="K903" i="2" a="1"/>
  <c r="J903" i="2"/>
  <c r="I903" i="2"/>
  <c r="L902" i="2"/>
  <c r="K902" i="2"/>
  <c r="K902" i="2" a="1"/>
  <c r="J902" i="2"/>
  <c r="I902" i="2"/>
  <c r="L901" i="2"/>
  <c r="K901" i="2"/>
  <c r="K901" i="2" a="1"/>
  <c r="J901" i="2"/>
  <c r="I901" i="2"/>
  <c r="L900" i="2"/>
  <c r="K900" i="2"/>
  <c r="K900" i="2" a="1"/>
  <c r="J900" i="2"/>
  <c r="I900" i="2"/>
  <c r="L899" i="2"/>
  <c r="K899" i="2"/>
  <c r="K899" i="2" a="1"/>
  <c r="J899" i="2"/>
  <c r="I899" i="2"/>
  <c r="L898" i="2"/>
  <c r="K898" i="2"/>
  <c r="K898" i="2" a="1"/>
  <c r="J898" i="2"/>
  <c r="I898" i="2"/>
  <c r="L897" i="2"/>
  <c r="K897" i="2"/>
  <c r="K897" i="2" a="1"/>
  <c r="J897" i="2"/>
  <c r="I897" i="2"/>
  <c r="L896" i="2"/>
  <c r="K896" i="2"/>
  <c r="K896" i="2" a="1"/>
  <c r="J896" i="2"/>
  <c r="I896" i="2"/>
  <c r="L895" i="2"/>
  <c r="K895" i="2"/>
  <c r="K895" i="2" a="1"/>
  <c r="J895" i="2"/>
  <c r="I895" i="2"/>
  <c r="L894" i="2"/>
  <c r="K894" i="2"/>
  <c r="K894" i="2" a="1"/>
  <c r="J894" i="2"/>
  <c r="I894" i="2"/>
  <c r="L893" i="2"/>
  <c r="K893" i="2"/>
  <c r="K893" i="2" a="1"/>
  <c r="J893" i="2"/>
  <c r="I893" i="2"/>
  <c r="L892" i="2"/>
  <c r="K892" i="2"/>
  <c r="K892" i="2" a="1"/>
  <c r="J892" i="2"/>
  <c r="I892" i="2"/>
  <c r="L891" i="2"/>
  <c r="K891" i="2"/>
  <c r="K891" i="2" a="1"/>
  <c r="J891" i="2"/>
  <c r="I891" i="2"/>
  <c r="L890" i="2"/>
  <c r="K890" i="2"/>
  <c r="K890" i="2" a="1"/>
  <c r="J890" i="2"/>
  <c r="I890" i="2"/>
  <c r="L889" i="2"/>
  <c r="K889" i="2"/>
  <c r="K889" i="2" a="1"/>
  <c r="J889" i="2"/>
  <c r="I889" i="2"/>
  <c r="L888" i="2"/>
  <c r="K888" i="2"/>
  <c r="K888" i="2" a="1"/>
  <c r="J888" i="2"/>
  <c r="I888" i="2"/>
  <c r="L887" i="2"/>
  <c r="K887" i="2"/>
  <c r="K887" i="2" a="1"/>
  <c r="J887" i="2"/>
  <c r="I887" i="2"/>
  <c r="L886" i="2"/>
  <c r="K886" i="2"/>
  <c r="K886" i="2" a="1"/>
  <c r="J886" i="2"/>
  <c r="I886" i="2"/>
  <c r="L885" i="2"/>
  <c r="K885" i="2"/>
  <c r="K885" i="2" a="1"/>
  <c r="J885" i="2"/>
  <c r="I885" i="2"/>
  <c r="L884" i="2"/>
  <c r="K884" i="2"/>
  <c r="K884" i="2" a="1"/>
  <c r="J884" i="2"/>
  <c r="I884" i="2"/>
  <c r="L883" i="2"/>
  <c r="K883" i="2"/>
  <c r="K883" i="2" a="1"/>
  <c r="J883" i="2"/>
  <c r="I883" i="2"/>
  <c r="L882" i="2"/>
  <c r="K882" i="2"/>
  <c r="K882" i="2" a="1"/>
  <c r="J882" i="2"/>
  <c r="I882" i="2"/>
  <c r="L881" i="2"/>
  <c r="K881" i="2"/>
  <c r="K881" i="2" a="1"/>
  <c r="J881" i="2"/>
  <c r="I881" i="2"/>
  <c r="L880" i="2"/>
  <c r="K880" i="2"/>
  <c r="K880" i="2" a="1"/>
  <c r="J880" i="2"/>
  <c r="I880" i="2"/>
  <c r="L879" i="2"/>
  <c r="K879" i="2"/>
  <c r="K879" i="2" a="1"/>
  <c r="J879" i="2"/>
  <c r="I879" i="2"/>
  <c r="L878" i="2"/>
  <c r="K878" i="2"/>
  <c r="K878" i="2" a="1"/>
  <c r="J878" i="2"/>
  <c r="I878" i="2"/>
  <c r="L877" i="2"/>
  <c r="K877" i="2"/>
  <c r="K877" i="2" a="1"/>
  <c r="J877" i="2"/>
  <c r="I877" i="2"/>
  <c r="L876" i="2"/>
  <c r="K876" i="2"/>
  <c r="K876" i="2" a="1"/>
  <c r="J876" i="2"/>
  <c r="I876" i="2"/>
  <c r="L875" i="2"/>
  <c r="K875" i="2"/>
  <c r="K875" i="2" a="1"/>
  <c r="J875" i="2"/>
  <c r="I875" i="2"/>
  <c r="L874" i="2"/>
  <c r="K874" i="2"/>
  <c r="K874" i="2" a="1"/>
  <c r="J874" i="2"/>
  <c r="I874" i="2"/>
  <c r="L873" i="2"/>
  <c r="K873" i="2"/>
  <c r="K873" i="2" a="1"/>
  <c r="J873" i="2"/>
  <c r="I873" i="2"/>
  <c r="L872" i="2"/>
  <c r="K872" i="2"/>
  <c r="K872" i="2" a="1"/>
  <c r="J872" i="2"/>
  <c r="I872" i="2"/>
  <c r="L871" i="2"/>
  <c r="K871" i="2"/>
  <c r="K871" i="2" a="1"/>
  <c r="J871" i="2"/>
  <c r="I871" i="2"/>
  <c r="L870" i="2"/>
  <c r="K870" i="2"/>
  <c r="K870" i="2" a="1"/>
  <c r="J870" i="2"/>
  <c r="I870" i="2"/>
  <c r="L869" i="2"/>
  <c r="K869" i="2"/>
  <c r="K869" i="2" a="1"/>
  <c r="J869" i="2"/>
  <c r="I869" i="2"/>
  <c r="L868" i="2"/>
  <c r="K868" i="2"/>
  <c r="K868" i="2" a="1"/>
  <c r="J868" i="2"/>
  <c r="I868" i="2"/>
  <c r="L867" i="2"/>
  <c r="K867" i="2"/>
  <c r="K867" i="2" a="1"/>
  <c r="J867" i="2"/>
  <c r="I867" i="2"/>
  <c r="L866" i="2"/>
  <c r="K866" i="2"/>
  <c r="K866" i="2" a="1"/>
  <c r="J866" i="2"/>
  <c r="I866" i="2"/>
  <c r="L865" i="2"/>
  <c r="K865" i="2"/>
  <c r="K865" i="2" a="1"/>
  <c r="J865" i="2"/>
  <c r="I865" i="2"/>
  <c r="L864" i="2"/>
  <c r="K864" i="2"/>
  <c r="K864" i="2" a="1"/>
  <c r="J864" i="2"/>
  <c r="I864" i="2"/>
  <c r="L863" i="2"/>
  <c r="K863" i="2"/>
  <c r="K863" i="2" a="1"/>
  <c r="J863" i="2"/>
  <c r="I863" i="2"/>
  <c r="L862" i="2"/>
  <c r="K862" i="2"/>
  <c r="K862" i="2" a="1"/>
  <c r="J862" i="2"/>
  <c r="I862" i="2"/>
  <c r="L861" i="2"/>
  <c r="K861" i="2"/>
  <c r="K861" i="2" a="1"/>
  <c r="J861" i="2"/>
  <c r="I861" i="2"/>
  <c r="L860" i="2"/>
  <c r="K860" i="2"/>
  <c r="K860" i="2" a="1"/>
  <c r="J860" i="2"/>
  <c r="I860" i="2"/>
  <c r="L859" i="2"/>
  <c r="K859" i="2"/>
  <c r="K859" i="2" a="1"/>
  <c r="J859" i="2"/>
  <c r="I859" i="2"/>
  <c r="L858" i="2"/>
  <c r="K858" i="2"/>
  <c r="K858" i="2" a="1"/>
  <c r="J858" i="2"/>
  <c r="I858" i="2"/>
  <c r="L857" i="2"/>
  <c r="K857" i="2"/>
  <c r="K857" i="2" a="1"/>
  <c r="J857" i="2"/>
  <c r="I857" i="2"/>
  <c r="L856" i="2"/>
  <c r="K856" i="2"/>
  <c r="K856" i="2" a="1"/>
  <c r="J856" i="2"/>
  <c r="I856" i="2"/>
  <c r="L855" i="2"/>
  <c r="K855" i="2"/>
  <c r="K855" i="2" a="1"/>
  <c r="J855" i="2"/>
  <c r="I855" i="2"/>
  <c r="L854" i="2"/>
  <c r="K854" i="2"/>
  <c r="K854" i="2" a="1"/>
  <c r="J854" i="2"/>
  <c r="I854" i="2"/>
  <c r="L853" i="2"/>
  <c r="K853" i="2"/>
  <c r="K853" i="2" a="1"/>
  <c r="J853" i="2"/>
  <c r="I853" i="2"/>
  <c r="L852" i="2"/>
  <c r="K852" i="2"/>
  <c r="K852" i="2" a="1"/>
  <c r="J852" i="2"/>
  <c r="I852" i="2"/>
  <c r="L851" i="2"/>
  <c r="K851" i="2"/>
  <c r="K851" i="2" a="1"/>
  <c r="J851" i="2"/>
  <c r="I851" i="2"/>
  <c r="L850" i="2"/>
  <c r="K850" i="2"/>
  <c r="K850" i="2" a="1"/>
  <c r="J850" i="2"/>
  <c r="I850" i="2"/>
  <c r="L849" i="2"/>
  <c r="K849" i="2"/>
  <c r="K849" i="2" a="1"/>
  <c r="J849" i="2"/>
  <c r="I849" i="2"/>
  <c r="L848" i="2"/>
  <c r="K848" i="2"/>
  <c r="K848" i="2" a="1"/>
  <c r="J848" i="2"/>
  <c r="I848" i="2"/>
  <c r="L847" i="2"/>
  <c r="K847" i="2"/>
  <c r="K847" i="2" a="1"/>
  <c r="J847" i="2"/>
  <c r="I847" i="2"/>
  <c r="L846" i="2"/>
  <c r="K846" i="2"/>
  <c r="K846" i="2" a="1"/>
  <c r="J846" i="2"/>
  <c r="I846" i="2"/>
  <c r="L845" i="2"/>
  <c r="K845" i="2"/>
  <c r="K845" i="2" a="1"/>
  <c r="J845" i="2"/>
  <c r="I845" i="2"/>
  <c r="L844" i="2"/>
  <c r="K844" i="2"/>
  <c r="K844" i="2" a="1"/>
  <c r="J844" i="2"/>
  <c r="I844" i="2"/>
  <c r="L843" i="2"/>
  <c r="K843" i="2"/>
  <c r="K843" i="2" a="1"/>
  <c r="J843" i="2"/>
  <c r="I843" i="2"/>
  <c r="L842" i="2"/>
  <c r="K842" i="2"/>
  <c r="K842" i="2" a="1"/>
  <c r="J842" i="2"/>
  <c r="I842" i="2"/>
  <c r="L841" i="2"/>
  <c r="K841" i="2"/>
  <c r="K841" i="2" a="1"/>
  <c r="J841" i="2"/>
  <c r="I841" i="2"/>
  <c r="L840" i="2"/>
  <c r="K840" i="2"/>
  <c r="K840" i="2" a="1"/>
  <c r="J840" i="2"/>
  <c r="I840" i="2"/>
  <c r="L839" i="2"/>
  <c r="K839" i="2"/>
  <c r="K839" i="2" a="1"/>
  <c r="J839" i="2"/>
  <c r="I839" i="2"/>
  <c r="L838" i="2"/>
  <c r="K838" i="2"/>
  <c r="K838" i="2" a="1"/>
  <c r="J838" i="2"/>
  <c r="I838" i="2"/>
  <c r="L837" i="2"/>
  <c r="K837" i="2"/>
  <c r="K837" i="2" a="1"/>
  <c r="J837" i="2"/>
  <c r="I837" i="2"/>
  <c r="L836" i="2"/>
  <c r="K836" i="2"/>
  <c r="K836" i="2" a="1"/>
  <c r="J836" i="2"/>
  <c r="I836" i="2"/>
  <c r="L835" i="2"/>
  <c r="K835" i="2"/>
  <c r="K835" i="2" a="1"/>
  <c r="J835" i="2"/>
  <c r="I835" i="2"/>
  <c r="L834" i="2"/>
  <c r="K834" i="2"/>
  <c r="K834" i="2" a="1"/>
  <c r="J834" i="2"/>
  <c r="I834" i="2"/>
  <c r="L833" i="2"/>
  <c r="K833" i="2"/>
  <c r="K833" i="2" a="1"/>
  <c r="J833" i="2"/>
  <c r="I833" i="2"/>
  <c r="L832" i="2"/>
  <c r="K832" i="2"/>
  <c r="K832" i="2" a="1"/>
  <c r="J832" i="2"/>
  <c r="I832" i="2"/>
  <c r="L831" i="2"/>
  <c r="K831" i="2"/>
  <c r="K831" i="2" a="1"/>
  <c r="J831" i="2"/>
  <c r="I831" i="2"/>
  <c r="L830" i="2"/>
  <c r="K830" i="2"/>
  <c r="K830" i="2" a="1"/>
  <c r="J830" i="2"/>
  <c r="I830" i="2"/>
  <c r="L829" i="2"/>
  <c r="K829" i="2"/>
  <c r="K829" i="2" a="1"/>
  <c r="J829" i="2"/>
  <c r="I829" i="2"/>
  <c r="L828" i="2"/>
  <c r="K828" i="2"/>
  <c r="K828" i="2" a="1"/>
  <c r="J828" i="2"/>
  <c r="I828" i="2"/>
  <c r="L827" i="2"/>
  <c r="K827" i="2"/>
  <c r="K827" i="2" a="1"/>
  <c r="J827" i="2"/>
  <c r="I827" i="2"/>
  <c r="L826" i="2"/>
  <c r="K826" i="2"/>
  <c r="K826" i="2" a="1"/>
  <c r="J826" i="2"/>
  <c r="I826" i="2"/>
  <c r="L825" i="2"/>
  <c r="K825" i="2"/>
  <c r="K825" i="2" a="1"/>
  <c r="J825" i="2"/>
  <c r="I825" i="2"/>
  <c r="L824" i="2"/>
  <c r="K824" i="2"/>
  <c r="K824" i="2" a="1"/>
  <c r="J824" i="2"/>
  <c r="I824" i="2"/>
  <c r="L823" i="2"/>
  <c r="K823" i="2"/>
  <c r="K823" i="2" a="1"/>
  <c r="J823" i="2"/>
  <c r="I823" i="2"/>
  <c r="L822" i="2"/>
  <c r="K822" i="2"/>
  <c r="K822" i="2" a="1"/>
  <c r="J822" i="2"/>
  <c r="I822" i="2"/>
  <c r="L821" i="2"/>
  <c r="K821" i="2"/>
  <c r="K821" i="2" a="1"/>
  <c r="J821" i="2"/>
  <c r="I821" i="2"/>
  <c r="L820" i="2"/>
  <c r="K820" i="2"/>
  <c r="K820" i="2" a="1"/>
  <c r="J820" i="2"/>
  <c r="I820" i="2"/>
  <c r="L819" i="2"/>
  <c r="K819" i="2"/>
  <c r="K819" i="2" a="1"/>
  <c r="J819" i="2"/>
  <c r="I819" i="2"/>
  <c r="L818" i="2"/>
  <c r="K818" i="2"/>
  <c r="K818" i="2" a="1"/>
  <c r="J818" i="2"/>
  <c r="I818" i="2"/>
  <c r="L817" i="2"/>
  <c r="K817" i="2"/>
  <c r="K817" i="2" a="1"/>
  <c r="J817" i="2"/>
  <c r="I817" i="2"/>
  <c r="L816" i="2"/>
  <c r="K816" i="2"/>
  <c r="K816" i="2" a="1"/>
  <c r="J816" i="2"/>
  <c r="I816" i="2"/>
  <c r="L815" i="2"/>
  <c r="K815" i="2"/>
  <c r="K815" i="2" a="1"/>
  <c r="J815" i="2"/>
  <c r="I815" i="2"/>
  <c r="L814" i="2"/>
  <c r="K814" i="2"/>
  <c r="K814" i="2" a="1"/>
  <c r="J814" i="2"/>
  <c r="I814" i="2"/>
  <c r="L813" i="2"/>
  <c r="K813" i="2"/>
  <c r="K813" i="2" a="1"/>
  <c r="J813" i="2"/>
  <c r="I813" i="2"/>
  <c r="L812" i="2"/>
  <c r="K812" i="2"/>
  <c r="K812" i="2" a="1"/>
  <c r="J812" i="2"/>
  <c r="I812" i="2"/>
  <c r="L811" i="2"/>
  <c r="K811" i="2"/>
  <c r="K811" i="2" a="1"/>
  <c r="J811" i="2"/>
  <c r="I811" i="2"/>
  <c r="L810" i="2"/>
  <c r="K810" i="2"/>
  <c r="K810" i="2" a="1"/>
  <c r="J810" i="2"/>
  <c r="I810" i="2"/>
  <c r="L809" i="2"/>
  <c r="K809" i="2"/>
  <c r="K809" i="2" a="1"/>
  <c r="J809" i="2"/>
  <c r="I809" i="2"/>
  <c r="L808" i="2"/>
  <c r="K808" i="2"/>
  <c r="K808" i="2" a="1"/>
  <c r="J808" i="2"/>
  <c r="I808" i="2"/>
  <c r="L807" i="2"/>
  <c r="K807" i="2"/>
  <c r="K807" i="2" a="1"/>
  <c r="J807" i="2"/>
  <c r="I807" i="2"/>
  <c r="L806" i="2"/>
  <c r="K806" i="2"/>
  <c r="K806" i="2" a="1"/>
  <c r="J806" i="2"/>
  <c r="I806" i="2"/>
  <c r="L805" i="2"/>
  <c r="K805" i="2"/>
  <c r="K805" i="2" a="1"/>
  <c r="J805" i="2"/>
  <c r="I805" i="2"/>
  <c r="L804" i="2"/>
  <c r="K804" i="2"/>
  <c r="K804" i="2" a="1"/>
  <c r="J804" i="2"/>
  <c r="I804" i="2"/>
  <c r="L803" i="2"/>
  <c r="K803" i="2"/>
  <c r="K803" i="2" a="1"/>
  <c r="J803" i="2"/>
  <c r="I803" i="2"/>
  <c r="L802" i="2"/>
  <c r="K802" i="2"/>
  <c r="K802" i="2" a="1"/>
  <c r="J802" i="2"/>
  <c r="I802" i="2"/>
  <c r="L801" i="2"/>
  <c r="K801" i="2"/>
  <c r="K801" i="2" a="1"/>
  <c r="J801" i="2"/>
  <c r="I801" i="2"/>
  <c r="L800" i="2"/>
  <c r="K800" i="2"/>
  <c r="K800" i="2" a="1"/>
  <c r="J800" i="2"/>
  <c r="I800" i="2"/>
  <c r="L799" i="2"/>
  <c r="K799" i="2"/>
  <c r="K799" i="2" a="1"/>
  <c r="J799" i="2"/>
  <c r="I799" i="2"/>
  <c r="L798" i="2"/>
  <c r="K798" i="2"/>
  <c r="K798" i="2" a="1"/>
  <c r="J798" i="2"/>
  <c r="I798" i="2"/>
  <c r="L797" i="2"/>
  <c r="K797" i="2"/>
  <c r="K797" i="2" a="1"/>
  <c r="J797" i="2"/>
  <c r="I797" i="2"/>
  <c r="L796" i="2"/>
  <c r="K796" i="2"/>
  <c r="K796" i="2" a="1"/>
  <c r="J796" i="2"/>
  <c r="I796" i="2"/>
  <c r="L795" i="2"/>
  <c r="K795" i="2"/>
  <c r="K795" i="2" a="1"/>
  <c r="J795" i="2"/>
  <c r="I795" i="2"/>
  <c r="L794" i="2"/>
  <c r="K794" i="2"/>
  <c r="K794" i="2" a="1"/>
  <c r="J794" i="2"/>
  <c r="I794" i="2"/>
  <c r="L793" i="2"/>
  <c r="K793" i="2"/>
  <c r="K793" i="2" a="1"/>
  <c r="J793" i="2"/>
  <c r="I793" i="2"/>
  <c r="L792" i="2"/>
  <c r="K792" i="2"/>
  <c r="K792" i="2" a="1"/>
  <c r="J792" i="2"/>
  <c r="I792" i="2"/>
  <c r="L791" i="2"/>
  <c r="K791" i="2"/>
  <c r="K791" i="2" a="1"/>
  <c r="J791" i="2"/>
  <c r="I791" i="2"/>
  <c r="L790" i="2"/>
  <c r="K790" i="2"/>
  <c r="K790" i="2" a="1"/>
  <c r="J790" i="2"/>
  <c r="I790" i="2"/>
  <c r="L789" i="2"/>
  <c r="K789" i="2"/>
  <c r="K789" i="2" a="1"/>
  <c r="J789" i="2"/>
  <c r="I789" i="2"/>
  <c r="L788" i="2"/>
  <c r="K788" i="2"/>
  <c r="K788" i="2" a="1"/>
  <c r="J788" i="2"/>
  <c r="I788" i="2"/>
  <c r="L787" i="2"/>
  <c r="K787" i="2"/>
  <c r="K787" i="2" a="1"/>
  <c r="J787" i="2"/>
  <c r="I787" i="2"/>
  <c r="L786" i="2"/>
  <c r="K786" i="2"/>
  <c r="K786" i="2" a="1"/>
  <c r="J786" i="2"/>
  <c r="I786" i="2"/>
  <c r="L785" i="2"/>
  <c r="K785" i="2"/>
  <c r="K785" i="2" a="1"/>
  <c r="J785" i="2"/>
  <c r="I785" i="2"/>
  <c r="L784" i="2"/>
  <c r="K784" i="2"/>
  <c r="K784" i="2" a="1"/>
  <c r="J784" i="2"/>
  <c r="I784" i="2"/>
  <c r="L783" i="2"/>
  <c r="K783" i="2"/>
  <c r="K783" i="2" a="1"/>
  <c r="J783" i="2"/>
  <c r="I783" i="2"/>
  <c r="L782" i="2"/>
  <c r="K782" i="2"/>
  <c r="K782" i="2" a="1"/>
  <c r="J782" i="2"/>
  <c r="I782" i="2"/>
  <c r="L781" i="2"/>
  <c r="K781" i="2"/>
  <c r="K781" i="2" a="1"/>
  <c r="J781" i="2"/>
  <c r="I781" i="2"/>
  <c r="L780" i="2"/>
  <c r="K780" i="2"/>
  <c r="K780" i="2" a="1"/>
  <c r="J780" i="2"/>
  <c r="I780" i="2"/>
  <c r="L779" i="2"/>
  <c r="K779" i="2"/>
  <c r="K779" i="2" a="1"/>
  <c r="J779" i="2"/>
  <c r="I779" i="2"/>
  <c r="L778" i="2"/>
  <c r="K778" i="2"/>
  <c r="K778" i="2" a="1"/>
  <c r="J778" i="2"/>
  <c r="I778" i="2"/>
  <c r="L777" i="2"/>
  <c r="K777" i="2"/>
  <c r="K777" i="2" a="1"/>
  <c r="J777" i="2"/>
  <c r="I777" i="2"/>
  <c r="L776" i="2"/>
  <c r="K776" i="2"/>
  <c r="K776" i="2" a="1"/>
  <c r="J776" i="2"/>
  <c r="I776" i="2"/>
  <c r="L775" i="2"/>
  <c r="K775" i="2"/>
  <c r="K775" i="2" a="1"/>
  <c r="J775" i="2"/>
  <c r="I775" i="2"/>
  <c r="L774" i="2"/>
  <c r="K774" i="2"/>
  <c r="K774" i="2" a="1"/>
  <c r="J774" i="2"/>
  <c r="I774" i="2"/>
  <c r="L773" i="2"/>
  <c r="K773" i="2"/>
  <c r="K773" i="2" a="1"/>
  <c r="J773" i="2"/>
  <c r="I773" i="2"/>
  <c r="L772" i="2"/>
  <c r="K772" i="2"/>
  <c r="K772" i="2" a="1"/>
  <c r="J772" i="2"/>
  <c r="I772" i="2"/>
  <c r="L771" i="2"/>
  <c r="K771" i="2"/>
  <c r="K771" i="2" a="1"/>
  <c r="J771" i="2"/>
  <c r="I771" i="2"/>
  <c r="L770" i="2"/>
  <c r="K770" i="2"/>
  <c r="K770" i="2" a="1"/>
  <c r="J770" i="2"/>
  <c r="I770" i="2"/>
  <c r="L769" i="2"/>
  <c r="K769" i="2"/>
  <c r="K769" i="2" a="1"/>
  <c r="J769" i="2"/>
  <c r="I769" i="2"/>
  <c r="L768" i="2"/>
  <c r="K768" i="2"/>
  <c r="K768" i="2" a="1"/>
  <c r="J768" i="2"/>
  <c r="I768" i="2"/>
  <c r="L767" i="2"/>
  <c r="K767" i="2"/>
  <c r="K767" i="2" a="1"/>
  <c r="J767" i="2"/>
  <c r="I767" i="2"/>
  <c r="L766" i="2"/>
  <c r="K766" i="2"/>
  <c r="K766" i="2" a="1"/>
  <c r="J766" i="2"/>
  <c r="I766" i="2"/>
  <c r="L765" i="2"/>
  <c r="K765" i="2"/>
  <c r="K765" i="2" a="1"/>
  <c r="J765" i="2"/>
  <c r="I765" i="2"/>
  <c r="L764" i="2"/>
  <c r="K764" i="2"/>
  <c r="K764" i="2" a="1"/>
  <c r="J764" i="2"/>
  <c r="I764" i="2"/>
  <c r="L763" i="2"/>
  <c r="K763" i="2"/>
  <c r="K763" i="2" a="1"/>
  <c r="J763" i="2"/>
  <c r="I763" i="2"/>
  <c r="L762" i="2"/>
  <c r="K762" i="2"/>
  <c r="K762" i="2" a="1"/>
  <c r="J762" i="2"/>
  <c r="I762" i="2"/>
  <c r="L761" i="2"/>
  <c r="K761" i="2"/>
  <c r="K761" i="2" a="1"/>
  <c r="J761" i="2"/>
  <c r="I761" i="2"/>
  <c r="L760" i="2"/>
  <c r="K760" i="2"/>
  <c r="K760" i="2" a="1"/>
  <c r="J760" i="2"/>
  <c r="I760" i="2"/>
  <c r="L759" i="2"/>
  <c r="K759" i="2"/>
  <c r="K759" i="2" a="1"/>
  <c r="J759" i="2"/>
  <c r="I759" i="2"/>
  <c r="L758" i="2"/>
  <c r="K758" i="2"/>
  <c r="K758" i="2" a="1"/>
  <c r="J758" i="2"/>
  <c r="I758" i="2"/>
  <c r="L757" i="2"/>
  <c r="K757" i="2"/>
  <c r="K757" i="2" a="1"/>
  <c r="J757" i="2"/>
  <c r="I757" i="2"/>
  <c r="L756" i="2"/>
  <c r="K756" i="2"/>
  <c r="K756" i="2" a="1"/>
  <c r="J756" i="2"/>
  <c r="I756" i="2"/>
  <c r="L755" i="2"/>
  <c r="K755" i="2"/>
  <c r="K755" i="2" a="1"/>
  <c r="J755" i="2"/>
  <c r="I755" i="2"/>
  <c r="L754" i="2"/>
  <c r="K754" i="2"/>
  <c r="K754" i="2" a="1"/>
  <c r="J754" i="2"/>
  <c r="I754" i="2"/>
  <c r="L753" i="2"/>
  <c r="K753" i="2"/>
  <c r="K753" i="2" a="1"/>
  <c r="J753" i="2"/>
  <c r="I753" i="2"/>
  <c r="L752" i="2"/>
  <c r="K752" i="2"/>
  <c r="K752" i="2" a="1"/>
  <c r="J752" i="2"/>
  <c r="I752" i="2"/>
  <c r="L751" i="2"/>
  <c r="K751" i="2"/>
  <c r="K751" i="2" a="1"/>
  <c r="J751" i="2"/>
  <c r="I751" i="2"/>
  <c r="L750" i="2"/>
  <c r="K750" i="2"/>
  <c r="K750" i="2" a="1"/>
  <c r="J750" i="2"/>
  <c r="I750" i="2"/>
  <c r="L749" i="2"/>
  <c r="K749" i="2"/>
  <c r="K749" i="2" a="1"/>
  <c r="J749" i="2"/>
  <c r="I749" i="2"/>
  <c r="L748" i="2"/>
  <c r="K748" i="2"/>
  <c r="K748" i="2" a="1"/>
  <c r="J748" i="2"/>
  <c r="I748" i="2"/>
  <c r="L747" i="2"/>
  <c r="K747" i="2"/>
  <c r="K747" i="2" a="1"/>
  <c r="J747" i="2"/>
  <c r="I747" i="2"/>
  <c r="L746" i="2"/>
  <c r="K746" i="2"/>
  <c r="K746" i="2" a="1"/>
  <c r="J746" i="2"/>
  <c r="I746" i="2"/>
  <c r="L745" i="2"/>
  <c r="K745" i="2"/>
  <c r="K745" i="2" a="1"/>
  <c r="J745" i="2"/>
  <c r="I745" i="2"/>
  <c r="L744" i="2"/>
  <c r="K744" i="2"/>
  <c r="K744" i="2" a="1"/>
  <c r="J744" i="2"/>
  <c r="I744" i="2"/>
  <c r="L743" i="2"/>
  <c r="K743" i="2"/>
  <c r="K743" i="2" a="1"/>
  <c r="J743" i="2"/>
  <c r="I743" i="2"/>
  <c r="L742" i="2"/>
  <c r="K742" i="2"/>
  <c r="K742" i="2" a="1"/>
  <c r="J742" i="2"/>
  <c r="I742" i="2"/>
  <c r="L741" i="2"/>
  <c r="K741" i="2"/>
  <c r="K741" i="2" a="1"/>
  <c r="J741" i="2"/>
  <c r="I741" i="2"/>
  <c r="L740" i="2"/>
  <c r="K740" i="2"/>
  <c r="K740" i="2" a="1"/>
  <c r="J740" i="2"/>
  <c r="I740" i="2"/>
  <c r="L739" i="2"/>
  <c r="K739" i="2"/>
  <c r="K739" i="2" a="1"/>
  <c r="J739" i="2"/>
  <c r="I739" i="2"/>
  <c r="L738" i="2"/>
  <c r="K738" i="2"/>
  <c r="K738" i="2" a="1"/>
  <c r="J738" i="2"/>
  <c r="I738" i="2"/>
  <c r="L737" i="2"/>
  <c r="K737" i="2"/>
  <c r="K737" i="2" a="1"/>
  <c r="J737" i="2"/>
  <c r="I737" i="2"/>
  <c r="L736" i="2"/>
  <c r="K736" i="2"/>
  <c r="K736" i="2" a="1"/>
  <c r="J736" i="2"/>
  <c r="I736" i="2"/>
  <c r="L735" i="2"/>
  <c r="K735" i="2"/>
  <c r="K735" i="2" a="1"/>
  <c r="J735" i="2"/>
  <c r="I735" i="2"/>
  <c r="L734" i="2"/>
  <c r="K734" i="2"/>
  <c r="K734" i="2" a="1"/>
  <c r="J734" i="2"/>
  <c r="I734" i="2"/>
  <c r="L733" i="2"/>
  <c r="K733" i="2"/>
  <c r="K733" i="2" a="1"/>
  <c r="J733" i="2"/>
  <c r="I733" i="2"/>
  <c r="L732" i="2"/>
  <c r="K732" i="2"/>
  <c r="K732" i="2" a="1"/>
  <c r="J732" i="2"/>
  <c r="I732" i="2"/>
  <c r="L731" i="2"/>
  <c r="K731" i="2"/>
  <c r="K731" i="2" a="1"/>
  <c r="J731" i="2"/>
  <c r="I731" i="2"/>
  <c r="L730" i="2"/>
  <c r="K730" i="2"/>
  <c r="K730" i="2" a="1"/>
  <c r="J730" i="2"/>
  <c r="I730" i="2"/>
  <c r="L729" i="2"/>
  <c r="K729" i="2"/>
  <c r="K729" i="2" a="1"/>
  <c r="J729" i="2"/>
  <c r="I729" i="2"/>
  <c r="L728" i="2"/>
  <c r="K728" i="2"/>
  <c r="K728" i="2" a="1"/>
  <c r="J728" i="2"/>
  <c r="I728" i="2"/>
  <c r="L727" i="2"/>
  <c r="K727" i="2"/>
  <c r="K727" i="2" a="1"/>
  <c r="J727" i="2"/>
  <c r="I727" i="2"/>
  <c r="L726" i="2"/>
  <c r="K726" i="2"/>
  <c r="K726" i="2" a="1"/>
  <c r="J726" i="2"/>
  <c r="I726" i="2"/>
  <c r="L725" i="2"/>
  <c r="K725" i="2"/>
  <c r="K725" i="2" a="1"/>
  <c r="J725" i="2"/>
  <c r="I725" i="2"/>
  <c r="L724" i="2"/>
  <c r="K724" i="2"/>
  <c r="K724" i="2" a="1"/>
  <c r="J724" i="2"/>
  <c r="I724" i="2"/>
  <c r="L723" i="2"/>
  <c r="K723" i="2"/>
  <c r="K723" i="2" a="1"/>
  <c r="J723" i="2"/>
  <c r="I723" i="2"/>
  <c r="L722" i="2"/>
  <c r="K722" i="2"/>
  <c r="K722" i="2" a="1"/>
  <c r="J722" i="2"/>
  <c r="I722" i="2"/>
  <c r="L721" i="2"/>
  <c r="K721" i="2"/>
  <c r="K721" i="2" a="1"/>
  <c r="J721" i="2"/>
  <c r="I721" i="2"/>
  <c r="L720" i="2"/>
  <c r="K720" i="2"/>
  <c r="K720" i="2" a="1"/>
  <c r="J720" i="2"/>
  <c r="I720" i="2"/>
  <c r="L719" i="2"/>
  <c r="K719" i="2"/>
  <c r="K719" i="2" a="1"/>
  <c r="J719" i="2"/>
  <c r="I719" i="2"/>
  <c r="L718" i="2"/>
  <c r="K718" i="2"/>
  <c r="K718" i="2" a="1"/>
  <c r="J718" i="2"/>
  <c r="I718" i="2"/>
  <c r="L717" i="2"/>
  <c r="K717" i="2"/>
  <c r="K717" i="2" a="1"/>
  <c r="J717" i="2"/>
  <c r="I717" i="2"/>
  <c r="L716" i="2"/>
  <c r="K716" i="2"/>
  <c r="K716" i="2" a="1"/>
  <c r="J716" i="2"/>
  <c r="I716" i="2"/>
  <c r="L715" i="2"/>
  <c r="K715" i="2"/>
  <c r="K715" i="2" a="1"/>
  <c r="J715" i="2"/>
  <c r="I715" i="2"/>
  <c r="L714" i="2"/>
  <c r="K714" i="2"/>
  <c r="K714" i="2" a="1"/>
  <c r="J714" i="2"/>
  <c r="I714" i="2"/>
  <c r="L713" i="2"/>
  <c r="K713" i="2"/>
  <c r="K713" i="2" a="1"/>
  <c r="J713" i="2"/>
  <c r="I713" i="2"/>
  <c r="L712" i="2"/>
  <c r="K712" i="2"/>
  <c r="K712" i="2" a="1"/>
  <c r="J712" i="2"/>
  <c r="I712" i="2"/>
  <c r="L711" i="2"/>
  <c r="K711" i="2"/>
  <c r="K711" i="2" a="1"/>
  <c r="J711" i="2"/>
  <c r="I711" i="2"/>
  <c r="L710" i="2"/>
  <c r="K710" i="2"/>
  <c r="K710" i="2" a="1"/>
  <c r="J710" i="2"/>
  <c r="I710" i="2"/>
  <c r="L709" i="2"/>
  <c r="K709" i="2"/>
  <c r="K709" i="2" a="1"/>
  <c r="J709" i="2"/>
  <c r="I709" i="2"/>
  <c r="L708" i="2"/>
  <c r="K708" i="2"/>
  <c r="K708" i="2" a="1"/>
  <c r="J708" i="2"/>
  <c r="I708" i="2"/>
  <c r="L707" i="2"/>
  <c r="K707" i="2"/>
  <c r="K707" i="2" a="1"/>
  <c r="J707" i="2"/>
  <c r="I707" i="2"/>
  <c r="L706" i="2"/>
  <c r="K706" i="2"/>
  <c r="K706" i="2" a="1"/>
  <c r="J706" i="2"/>
  <c r="I706" i="2"/>
  <c r="L705" i="2"/>
  <c r="K705" i="2"/>
  <c r="K705" i="2" a="1"/>
  <c r="J705" i="2"/>
  <c r="I705" i="2"/>
  <c r="L704" i="2"/>
  <c r="K704" i="2"/>
  <c r="K704" i="2" a="1"/>
  <c r="J704" i="2"/>
  <c r="I704" i="2"/>
  <c r="L703" i="2"/>
  <c r="K703" i="2"/>
  <c r="K703" i="2" a="1"/>
  <c r="J703" i="2"/>
  <c r="I703" i="2"/>
  <c r="L702" i="2"/>
  <c r="K702" i="2"/>
  <c r="K702" i="2" a="1"/>
  <c r="J702" i="2"/>
  <c r="I702" i="2"/>
  <c r="L701" i="2"/>
  <c r="K701" i="2"/>
  <c r="K701" i="2" a="1"/>
  <c r="J701" i="2"/>
  <c r="I701" i="2"/>
  <c r="L700" i="2"/>
  <c r="K700" i="2"/>
  <c r="K700" i="2" a="1"/>
  <c r="J700" i="2"/>
  <c r="I700" i="2"/>
  <c r="L699" i="2"/>
  <c r="K699" i="2"/>
  <c r="K699" i="2" a="1"/>
  <c r="J699" i="2"/>
  <c r="I699" i="2"/>
  <c r="L698" i="2"/>
  <c r="K698" i="2"/>
  <c r="K698" i="2" a="1"/>
  <c r="J698" i="2"/>
  <c r="I698" i="2"/>
  <c r="L697" i="2"/>
  <c r="K697" i="2"/>
  <c r="K697" i="2" a="1"/>
  <c r="J697" i="2"/>
  <c r="I697" i="2"/>
  <c r="L696" i="2"/>
  <c r="K696" i="2"/>
  <c r="K696" i="2" a="1"/>
  <c r="J696" i="2"/>
  <c r="I696" i="2"/>
  <c r="L695" i="2"/>
  <c r="K695" i="2"/>
  <c r="K695" i="2" a="1"/>
  <c r="J695" i="2"/>
  <c r="I695" i="2"/>
  <c r="L694" i="2"/>
  <c r="K694" i="2"/>
  <c r="K694" i="2" a="1"/>
  <c r="J694" i="2"/>
  <c r="I694" i="2"/>
  <c r="L693" i="2"/>
  <c r="K693" i="2"/>
  <c r="K693" i="2" a="1"/>
  <c r="J693" i="2"/>
  <c r="I693" i="2"/>
  <c r="L692" i="2"/>
  <c r="K692" i="2"/>
  <c r="K692" i="2" a="1"/>
  <c r="J692" i="2"/>
  <c r="I692" i="2"/>
  <c r="L691" i="2"/>
  <c r="K691" i="2"/>
  <c r="K691" i="2" a="1"/>
  <c r="J691" i="2"/>
  <c r="I691" i="2"/>
  <c r="L690" i="2"/>
  <c r="K690" i="2"/>
  <c r="K690" i="2" a="1"/>
  <c r="J690" i="2"/>
  <c r="I690" i="2"/>
  <c r="L689" i="2"/>
  <c r="K689" i="2"/>
  <c r="K689" i="2" a="1"/>
  <c r="J689" i="2"/>
  <c r="I689" i="2"/>
  <c r="L688" i="2"/>
  <c r="K688" i="2"/>
  <c r="K688" i="2" a="1"/>
  <c r="J688" i="2"/>
  <c r="I688" i="2"/>
  <c r="L687" i="2"/>
  <c r="K687" i="2"/>
  <c r="K687" i="2" a="1"/>
  <c r="J687" i="2"/>
  <c r="I687" i="2"/>
  <c r="L686" i="2"/>
  <c r="K686" i="2"/>
  <c r="K686" i="2" a="1"/>
  <c r="J686" i="2"/>
  <c r="I686" i="2"/>
  <c r="L685" i="2"/>
  <c r="K685" i="2"/>
  <c r="K685" i="2" a="1"/>
  <c r="J685" i="2"/>
  <c r="I685" i="2"/>
  <c r="L684" i="2"/>
  <c r="K684" i="2"/>
  <c r="K684" i="2" a="1"/>
  <c r="J684" i="2"/>
  <c r="I684" i="2"/>
  <c r="L683" i="2"/>
  <c r="K683" i="2"/>
  <c r="K683" i="2" a="1"/>
  <c r="J683" i="2"/>
  <c r="I683" i="2"/>
  <c r="L682" i="2"/>
  <c r="K682" i="2"/>
  <c r="K682" i="2" a="1"/>
  <c r="J682" i="2"/>
  <c r="I682" i="2"/>
  <c r="L681" i="2"/>
  <c r="K681" i="2"/>
  <c r="K681" i="2" a="1"/>
  <c r="J681" i="2"/>
  <c r="I681" i="2"/>
  <c r="L680" i="2"/>
  <c r="K680" i="2"/>
  <c r="K680" i="2" a="1"/>
  <c r="J680" i="2"/>
  <c r="I680" i="2"/>
  <c r="L679" i="2"/>
  <c r="K679" i="2"/>
  <c r="K679" i="2" a="1"/>
  <c r="J679" i="2"/>
  <c r="I679" i="2"/>
  <c r="L678" i="2"/>
  <c r="K678" i="2"/>
  <c r="K678" i="2" a="1"/>
  <c r="J678" i="2"/>
  <c r="I678" i="2"/>
  <c r="L677" i="2"/>
  <c r="K677" i="2"/>
  <c r="K677" i="2" a="1"/>
  <c r="J677" i="2"/>
  <c r="I677" i="2"/>
  <c r="L676" i="2"/>
  <c r="K676" i="2"/>
  <c r="K676" i="2" a="1"/>
  <c r="J676" i="2"/>
  <c r="I676" i="2"/>
  <c r="L675" i="2"/>
  <c r="K675" i="2"/>
  <c r="K675" i="2" a="1"/>
  <c r="J675" i="2"/>
  <c r="I675" i="2"/>
  <c r="L674" i="2"/>
  <c r="K674" i="2"/>
  <c r="K674" i="2" a="1"/>
  <c r="J674" i="2"/>
  <c r="I674" i="2"/>
  <c r="L673" i="2"/>
  <c r="K673" i="2"/>
  <c r="K673" i="2" a="1"/>
  <c r="J673" i="2"/>
  <c r="I673" i="2"/>
  <c r="L672" i="2"/>
  <c r="K672" i="2"/>
  <c r="K672" i="2" a="1"/>
  <c r="J672" i="2"/>
  <c r="I672" i="2"/>
  <c r="L671" i="2"/>
  <c r="K671" i="2"/>
  <c r="K671" i="2" a="1"/>
  <c r="J671" i="2"/>
  <c r="I671" i="2"/>
  <c r="L670" i="2"/>
  <c r="K670" i="2"/>
  <c r="K670" i="2" a="1"/>
  <c r="J670" i="2"/>
  <c r="I670" i="2"/>
  <c r="L669" i="2"/>
  <c r="K669" i="2"/>
  <c r="K669" i="2" a="1"/>
  <c r="J669" i="2"/>
  <c r="I669" i="2"/>
  <c r="L668" i="2"/>
  <c r="K668" i="2"/>
  <c r="K668" i="2" a="1"/>
  <c r="J668" i="2"/>
  <c r="I668" i="2"/>
  <c r="L667" i="2"/>
  <c r="K667" i="2"/>
  <c r="K667" i="2" a="1"/>
  <c r="J667" i="2"/>
  <c r="I667" i="2"/>
  <c r="L666" i="2"/>
  <c r="K666" i="2"/>
  <c r="K666" i="2" a="1"/>
  <c r="J666" i="2"/>
  <c r="I666" i="2"/>
  <c r="L665" i="2"/>
  <c r="K665" i="2"/>
  <c r="K665" i="2" a="1"/>
  <c r="J665" i="2"/>
  <c r="I665" i="2"/>
  <c r="L664" i="2"/>
  <c r="K664" i="2"/>
  <c r="K664" i="2" a="1"/>
  <c r="J664" i="2"/>
  <c r="I664" i="2"/>
  <c r="L663" i="2"/>
  <c r="K663" i="2"/>
  <c r="K663" i="2" a="1"/>
  <c r="J663" i="2"/>
  <c r="I663" i="2"/>
  <c r="L662" i="2"/>
  <c r="K662" i="2"/>
  <c r="K662" i="2" a="1"/>
  <c r="J662" i="2"/>
  <c r="I662" i="2"/>
  <c r="L661" i="2"/>
  <c r="K661" i="2"/>
  <c r="K661" i="2" a="1"/>
  <c r="J661" i="2"/>
  <c r="I661" i="2"/>
  <c r="L660" i="2"/>
  <c r="K660" i="2"/>
  <c r="K660" i="2" a="1"/>
  <c r="J660" i="2"/>
  <c r="I660" i="2"/>
  <c r="L659" i="2"/>
  <c r="K659" i="2"/>
  <c r="K659" i="2" a="1"/>
  <c r="J659" i="2"/>
  <c r="I659" i="2"/>
  <c r="L658" i="2"/>
  <c r="K658" i="2"/>
  <c r="K658" i="2" a="1"/>
  <c r="J658" i="2"/>
  <c r="I658" i="2"/>
  <c r="L657" i="2"/>
  <c r="K657" i="2"/>
  <c r="K657" i="2" a="1"/>
  <c r="J657" i="2"/>
  <c r="I657" i="2"/>
  <c r="L656" i="2"/>
  <c r="K656" i="2"/>
  <c r="K656" i="2" a="1"/>
  <c r="J656" i="2"/>
  <c r="I656" i="2"/>
  <c r="L655" i="2"/>
  <c r="K655" i="2"/>
  <c r="K655" i="2" a="1"/>
  <c r="J655" i="2"/>
  <c r="I655" i="2"/>
  <c r="L654" i="2"/>
  <c r="K654" i="2"/>
  <c r="K654" i="2" a="1"/>
  <c r="J654" i="2"/>
  <c r="I654" i="2"/>
  <c r="L653" i="2"/>
  <c r="K653" i="2"/>
  <c r="K653" i="2" a="1"/>
  <c r="J653" i="2"/>
  <c r="I653" i="2"/>
  <c r="L652" i="2"/>
  <c r="K652" i="2"/>
  <c r="K652" i="2" a="1"/>
  <c r="J652" i="2"/>
  <c r="I652" i="2"/>
  <c r="L651" i="2"/>
  <c r="K651" i="2"/>
  <c r="K651" i="2" a="1"/>
  <c r="J651" i="2"/>
  <c r="I651" i="2"/>
  <c r="L650" i="2"/>
  <c r="K650" i="2"/>
  <c r="K650" i="2" a="1"/>
  <c r="J650" i="2"/>
  <c r="I650" i="2"/>
  <c r="L649" i="2"/>
  <c r="K649" i="2"/>
  <c r="K649" i="2" a="1"/>
  <c r="J649" i="2"/>
  <c r="I649" i="2"/>
  <c r="L648" i="2"/>
  <c r="K648" i="2"/>
  <c r="K648" i="2" a="1"/>
  <c r="J648" i="2"/>
  <c r="I648" i="2"/>
  <c r="L647" i="2"/>
  <c r="K647" i="2"/>
  <c r="K647" i="2" a="1"/>
  <c r="J647" i="2"/>
  <c r="I647" i="2"/>
  <c r="L646" i="2"/>
  <c r="K646" i="2"/>
  <c r="K646" i="2" a="1"/>
  <c r="J646" i="2"/>
  <c r="I646" i="2"/>
  <c r="L645" i="2"/>
  <c r="K645" i="2"/>
  <c r="K645" i="2" a="1"/>
  <c r="J645" i="2"/>
  <c r="I645" i="2"/>
  <c r="L644" i="2"/>
  <c r="K644" i="2"/>
  <c r="K644" i="2" a="1"/>
  <c r="J644" i="2"/>
  <c r="I644" i="2"/>
  <c r="L643" i="2"/>
  <c r="K643" i="2"/>
  <c r="K643" i="2" a="1"/>
  <c r="J643" i="2"/>
  <c r="I643" i="2"/>
  <c r="L642" i="2"/>
  <c r="K642" i="2"/>
  <c r="K642" i="2" a="1"/>
  <c r="J642" i="2"/>
  <c r="I642" i="2"/>
  <c r="L641" i="2"/>
  <c r="K641" i="2"/>
  <c r="K641" i="2" a="1"/>
  <c r="J641" i="2"/>
  <c r="I641" i="2"/>
  <c r="L640" i="2"/>
  <c r="K640" i="2"/>
  <c r="K640" i="2" a="1"/>
  <c r="J640" i="2"/>
  <c r="I640" i="2"/>
  <c r="L639" i="2"/>
  <c r="K639" i="2"/>
  <c r="K639" i="2" a="1"/>
  <c r="J639" i="2"/>
  <c r="I639" i="2"/>
  <c r="L638" i="2"/>
  <c r="K638" i="2"/>
  <c r="K638" i="2" a="1"/>
  <c r="J638" i="2"/>
  <c r="I638" i="2"/>
  <c r="L637" i="2"/>
  <c r="K637" i="2"/>
  <c r="K637" i="2" a="1"/>
  <c r="J637" i="2"/>
  <c r="I637" i="2"/>
  <c r="L636" i="2"/>
  <c r="K636" i="2"/>
  <c r="K636" i="2" a="1"/>
  <c r="J636" i="2"/>
  <c r="I636" i="2"/>
  <c r="L635" i="2"/>
  <c r="K635" i="2"/>
  <c r="K635" i="2" a="1"/>
  <c r="J635" i="2"/>
  <c r="I635" i="2"/>
  <c r="L634" i="2"/>
  <c r="K634" i="2"/>
  <c r="K634" i="2" a="1"/>
  <c r="J634" i="2"/>
  <c r="I634" i="2"/>
  <c r="L633" i="2"/>
  <c r="K633" i="2"/>
  <c r="K633" i="2" a="1"/>
  <c r="J633" i="2"/>
  <c r="I633" i="2"/>
  <c r="L632" i="2"/>
  <c r="K632" i="2"/>
  <c r="K632" i="2" a="1"/>
  <c r="J632" i="2"/>
  <c r="I632" i="2"/>
  <c r="L631" i="2"/>
  <c r="K631" i="2"/>
  <c r="K631" i="2" a="1"/>
  <c r="J631" i="2"/>
  <c r="I631" i="2"/>
  <c r="L630" i="2"/>
  <c r="K630" i="2"/>
  <c r="K630" i="2" a="1"/>
  <c r="J630" i="2"/>
  <c r="I630" i="2"/>
  <c r="L629" i="2"/>
  <c r="K629" i="2"/>
  <c r="K629" i="2" a="1"/>
  <c r="J629" i="2"/>
  <c r="I629" i="2"/>
  <c r="L628" i="2"/>
  <c r="K628" i="2"/>
  <c r="K628" i="2" a="1"/>
  <c r="J628" i="2"/>
  <c r="I628" i="2"/>
  <c r="L627" i="2"/>
  <c r="K627" i="2"/>
  <c r="K627" i="2" a="1"/>
  <c r="J627" i="2"/>
  <c r="I627" i="2"/>
  <c r="L626" i="2"/>
  <c r="K626" i="2"/>
  <c r="K626" i="2" a="1"/>
  <c r="J626" i="2"/>
  <c r="I626" i="2"/>
  <c r="L625" i="2"/>
  <c r="K625" i="2"/>
  <c r="K625" i="2" a="1"/>
  <c r="J625" i="2"/>
  <c r="I625" i="2"/>
  <c r="L624" i="2"/>
  <c r="K624" i="2"/>
  <c r="K624" i="2" a="1"/>
  <c r="J624" i="2"/>
  <c r="I624" i="2"/>
  <c r="L623" i="2"/>
  <c r="K623" i="2"/>
  <c r="K623" i="2" a="1"/>
  <c r="J623" i="2"/>
  <c r="I623" i="2"/>
  <c r="L622" i="2"/>
  <c r="K622" i="2"/>
  <c r="K622" i="2" a="1"/>
  <c r="J622" i="2"/>
  <c r="I622" i="2"/>
  <c r="L621" i="2"/>
  <c r="K621" i="2"/>
  <c r="K621" i="2" a="1"/>
  <c r="J621" i="2"/>
  <c r="I621" i="2"/>
  <c r="L620" i="2"/>
  <c r="K620" i="2"/>
  <c r="K620" i="2" a="1"/>
  <c r="J620" i="2"/>
  <c r="I620" i="2"/>
  <c r="L619" i="2"/>
  <c r="K619" i="2"/>
  <c r="K619" i="2" a="1"/>
  <c r="J619" i="2"/>
  <c r="I619" i="2"/>
  <c r="L618" i="2"/>
  <c r="K618" i="2"/>
  <c r="K618" i="2" a="1"/>
  <c r="J618" i="2"/>
  <c r="I618" i="2"/>
  <c r="L617" i="2"/>
  <c r="K617" i="2"/>
  <c r="K617" i="2" a="1"/>
  <c r="J617" i="2"/>
  <c r="I617" i="2"/>
  <c r="L616" i="2"/>
  <c r="K616" i="2"/>
  <c r="K616" i="2" a="1"/>
  <c r="J616" i="2"/>
  <c r="I616" i="2"/>
  <c r="L615" i="2"/>
  <c r="K615" i="2"/>
  <c r="K615" i="2" a="1"/>
  <c r="J615" i="2"/>
  <c r="I615" i="2"/>
  <c r="L614" i="2"/>
  <c r="K614" i="2"/>
  <c r="K614" i="2" a="1"/>
  <c r="J614" i="2"/>
  <c r="I614" i="2"/>
  <c r="L613" i="2"/>
  <c r="K613" i="2"/>
  <c r="K613" i="2" a="1"/>
  <c r="J613" i="2"/>
  <c r="I613" i="2"/>
  <c r="L612" i="2"/>
  <c r="K612" i="2"/>
  <c r="K612" i="2" a="1"/>
  <c r="J612" i="2"/>
  <c r="I612" i="2"/>
  <c r="L611" i="2"/>
  <c r="K611" i="2"/>
  <c r="K611" i="2" a="1"/>
  <c r="J611" i="2"/>
  <c r="I611" i="2"/>
  <c r="L610" i="2"/>
  <c r="K610" i="2"/>
  <c r="K610" i="2" a="1"/>
  <c r="J610" i="2"/>
  <c r="I610" i="2"/>
  <c r="L609" i="2"/>
  <c r="K609" i="2"/>
  <c r="K609" i="2" a="1"/>
  <c r="J609" i="2"/>
  <c r="I609" i="2"/>
  <c r="L608" i="2"/>
  <c r="K608" i="2"/>
  <c r="K608" i="2" a="1"/>
  <c r="J608" i="2"/>
  <c r="I608" i="2"/>
  <c r="L607" i="2"/>
  <c r="K607" i="2"/>
  <c r="K607" i="2" a="1"/>
  <c r="J607" i="2"/>
  <c r="I607" i="2"/>
  <c r="L606" i="2"/>
  <c r="K606" i="2"/>
  <c r="K606" i="2" a="1"/>
  <c r="J606" i="2"/>
  <c r="I606" i="2"/>
  <c r="L605" i="2"/>
  <c r="K605" i="2"/>
  <c r="K605" i="2" a="1"/>
  <c r="J605" i="2"/>
  <c r="I605" i="2"/>
  <c r="L604" i="2"/>
  <c r="K604" i="2"/>
  <c r="K604" i="2" a="1"/>
  <c r="J604" i="2"/>
  <c r="I604" i="2"/>
  <c r="L603" i="2"/>
  <c r="K603" i="2"/>
  <c r="K603" i="2" a="1"/>
  <c r="J603" i="2"/>
  <c r="I603" i="2"/>
  <c r="L602" i="2"/>
  <c r="K602" i="2"/>
  <c r="K602" i="2" a="1"/>
  <c r="J602" i="2"/>
  <c r="I602" i="2"/>
  <c r="L601" i="2"/>
  <c r="K601" i="2"/>
  <c r="K601" i="2" a="1"/>
  <c r="J601" i="2"/>
  <c r="I601" i="2"/>
  <c r="L600" i="2"/>
  <c r="K600" i="2"/>
  <c r="K600" i="2" a="1"/>
  <c r="J600" i="2"/>
  <c r="I600" i="2"/>
  <c r="L599" i="2"/>
  <c r="K599" i="2"/>
  <c r="K599" i="2" a="1"/>
  <c r="J599" i="2"/>
  <c r="I599" i="2"/>
  <c r="L598" i="2"/>
  <c r="K598" i="2"/>
  <c r="K598" i="2" a="1"/>
  <c r="J598" i="2"/>
  <c r="I598" i="2"/>
  <c r="L597" i="2"/>
  <c r="K597" i="2"/>
  <c r="K597" i="2" a="1"/>
  <c r="J597" i="2"/>
  <c r="I597" i="2"/>
  <c r="L596" i="2"/>
  <c r="K596" i="2"/>
  <c r="K596" i="2" a="1"/>
  <c r="J596" i="2"/>
  <c r="I596" i="2"/>
  <c r="L595" i="2"/>
  <c r="K595" i="2"/>
  <c r="K595" i="2" a="1"/>
  <c r="J595" i="2"/>
  <c r="I595" i="2"/>
  <c r="L594" i="2"/>
  <c r="K594" i="2"/>
  <c r="K594" i="2" a="1"/>
  <c r="J594" i="2"/>
  <c r="I594" i="2"/>
  <c r="L593" i="2"/>
  <c r="K593" i="2"/>
  <c r="K593" i="2" a="1"/>
  <c r="J593" i="2"/>
  <c r="I593" i="2"/>
  <c r="L592" i="2"/>
  <c r="K592" i="2"/>
  <c r="K592" i="2" a="1"/>
  <c r="J592" i="2"/>
  <c r="I592" i="2"/>
  <c r="L591" i="2"/>
  <c r="K591" i="2"/>
  <c r="K591" i="2" a="1"/>
  <c r="J591" i="2"/>
  <c r="I591" i="2"/>
  <c r="L590" i="2"/>
  <c r="K590" i="2"/>
  <c r="K590" i="2" a="1"/>
  <c r="J590" i="2"/>
  <c r="I590" i="2"/>
  <c r="L589" i="2"/>
  <c r="K589" i="2"/>
  <c r="K589" i="2" a="1"/>
  <c r="J589" i="2"/>
  <c r="I589" i="2"/>
  <c r="L588" i="2"/>
  <c r="K588" i="2"/>
  <c r="K588" i="2" a="1"/>
  <c r="J588" i="2"/>
  <c r="I588" i="2"/>
  <c r="L587" i="2"/>
  <c r="K587" i="2"/>
  <c r="K587" i="2" a="1"/>
  <c r="J587" i="2"/>
  <c r="I587" i="2"/>
  <c r="L586" i="2"/>
  <c r="K586" i="2"/>
  <c r="K586" i="2" a="1"/>
  <c r="J586" i="2"/>
  <c r="I586" i="2"/>
  <c r="L585" i="2"/>
  <c r="K585" i="2"/>
  <c r="K585" i="2" a="1"/>
  <c r="J585" i="2"/>
  <c r="I585" i="2"/>
  <c r="L584" i="2"/>
  <c r="K584" i="2"/>
  <c r="K584" i="2" a="1"/>
  <c r="J584" i="2"/>
  <c r="I584" i="2"/>
  <c r="L583" i="2"/>
  <c r="K583" i="2"/>
  <c r="K583" i="2" a="1"/>
  <c r="J583" i="2"/>
  <c r="I583" i="2"/>
  <c r="L582" i="2"/>
  <c r="K582" i="2"/>
  <c r="K582" i="2" a="1"/>
  <c r="J582" i="2"/>
  <c r="I582" i="2"/>
  <c r="L581" i="2"/>
  <c r="K581" i="2"/>
  <c r="K581" i="2" a="1"/>
  <c r="J581" i="2"/>
  <c r="I581" i="2"/>
  <c r="L580" i="2"/>
  <c r="K580" i="2"/>
  <c r="K580" i="2" a="1"/>
  <c r="J580" i="2"/>
  <c r="I580" i="2"/>
  <c r="L579" i="2"/>
  <c r="K579" i="2"/>
  <c r="K579" i="2" a="1"/>
  <c r="J579" i="2"/>
  <c r="I579" i="2"/>
  <c r="L578" i="2"/>
  <c r="K578" i="2"/>
  <c r="K578" i="2" a="1"/>
  <c r="J578" i="2"/>
  <c r="I578" i="2"/>
  <c r="L577" i="2"/>
  <c r="K577" i="2"/>
  <c r="K577" i="2" a="1"/>
  <c r="J577" i="2"/>
  <c r="I577" i="2"/>
  <c r="L576" i="2"/>
  <c r="K576" i="2"/>
  <c r="K576" i="2" a="1"/>
  <c r="J576" i="2"/>
  <c r="I576" i="2"/>
  <c r="L575" i="2"/>
  <c r="K575" i="2"/>
  <c r="K575" i="2" a="1"/>
  <c r="J575" i="2"/>
  <c r="I575" i="2"/>
  <c r="L574" i="2"/>
  <c r="K574" i="2"/>
  <c r="K574" i="2" a="1"/>
  <c r="J574" i="2"/>
  <c r="I574" i="2"/>
  <c r="L573" i="2"/>
  <c r="K573" i="2"/>
  <c r="K573" i="2" a="1"/>
  <c r="J573" i="2"/>
  <c r="I573" i="2"/>
  <c r="L572" i="2"/>
  <c r="K572" i="2"/>
  <c r="K572" i="2" a="1"/>
  <c r="J572" i="2"/>
  <c r="I572" i="2"/>
  <c r="L571" i="2"/>
  <c r="K571" i="2"/>
  <c r="K571" i="2" a="1"/>
  <c r="J571" i="2"/>
  <c r="I571" i="2"/>
  <c r="L570" i="2"/>
  <c r="K570" i="2"/>
  <c r="K570" i="2" a="1"/>
  <c r="J570" i="2"/>
  <c r="I570" i="2"/>
  <c r="L569" i="2"/>
  <c r="K569" i="2"/>
  <c r="K569" i="2" a="1"/>
  <c r="J569" i="2"/>
  <c r="I569" i="2"/>
  <c r="L568" i="2"/>
  <c r="K568" i="2"/>
  <c r="K568" i="2" a="1"/>
  <c r="J568" i="2"/>
  <c r="I568" i="2"/>
  <c r="L567" i="2"/>
  <c r="K567" i="2"/>
  <c r="K567" i="2" a="1"/>
  <c r="J567" i="2"/>
  <c r="I567" i="2"/>
  <c r="L566" i="2"/>
  <c r="K566" i="2"/>
  <c r="K566" i="2" a="1"/>
  <c r="J566" i="2"/>
  <c r="I566" i="2"/>
  <c r="L565" i="2"/>
  <c r="K565" i="2"/>
  <c r="K565" i="2" a="1"/>
  <c r="J565" i="2"/>
  <c r="I565" i="2"/>
  <c r="L564" i="2"/>
  <c r="K564" i="2"/>
  <c r="K564" i="2" a="1"/>
  <c r="J564" i="2"/>
  <c r="I564" i="2"/>
  <c r="L563" i="2"/>
  <c r="K563" i="2"/>
  <c r="K563" i="2" a="1"/>
  <c r="J563" i="2"/>
  <c r="I563" i="2"/>
  <c r="L562" i="2"/>
  <c r="K562" i="2"/>
  <c r="K562" i="2" a="1"/>
  <c r="J562" i="2"/>
  <c r="I562" i="2"/>
  <c r="L561" i="2"/>
  <c r="K561" i="2"/>
  <c r="K561" i="2" a="1"/>
  <c r="J561" i="2"/>
  <c r="I561" i="2"/>
  <c r="L560" i="2"/>
  <c r="K560" i="2"/>
  <c r="K560" i="2" a="1"/>
  <c r="J560" i="2"/>
  <c r="I560" i="2"/>
  <c r="L559" i="2"/>
  <c r="K559" i="2"/>
  <c r="K559" i="2" a="1"/>
  <c r="J559" i="2"/>
  <c r="I559" i="2"/>
  <c r="L558" i="2"/>
  <c r="K558" i="2"/>
  <c r="K558" i="2" a="1"/>
  <c r="J558" i="2"/>
  <c r="I558" i="2"/>
  <c r="L557" i="2"/>
  <c r="K557" i="2"/>
  <c r="K557" i="2" a="1"/>
  <c r="J557" i="2"/>
  <c r="I557" i="2"/>
  <c r="L556" i="2"/>
  <c r="K556" i="2"/>
  <c r="K556" i="2" a="1"/>
  <c r="J556" i="2"/>
  <c r="I556" i="2"/>
  <c r="L555" i="2"/>
  <c r="K555" i="2"/>
  <c r="K555" i="2" a="1"/>
  <c r="J555" i="2"/>
  <c r="I555" i="2"/>
  <c r="L554" i="2"/>
  <c r="K554" i="2"/>
  <c r="K554" i="2" a="1"/>
  <c r="J554" i="2"/>
  <c r="I554" i="2"/>
  <c r="L553" i="2"/>
  <c r="K553" i="2"/>
  <c r="K553" i="2" a="1"/>
  <c r="J553" i="2"/>
  <c r="I553" i="2"/>
  <c r="L552" i="2"/>
  <c r="K552" i="2"/>
  <c r="K552" i="2" a="1"/>
  <c r="J552" i="2"/>
  <c r="I552" i="2"/>
  <c r="L551" i="2"/>
  <c r="K551" i="2"/>
  <c r="K551" i="2" a="1"/>
  <c r="J551" i="2"/>
  <c r="I551" i="2"/>
  <c r="L550" i="2"/>
  <c r="K550" i="2"/>
  <c r="K550" i="2" a="1"/>
  <c r="J550" i="2"/>
  <c r="I550" i="2"/>
  <c r="L549" i="2"/>
  <c r="K549" i="2"/>
  <c r="K549" i="2" a="1"/>
  <c r="J549" i="2"/>
  <c r="I549" i="2"/>
  <c r="L548" i="2"/>
  <c r="K548" i="2"/>
  <c r="K548" i="2" a="1"/>
  <c r="J548" i="2"/>
  <c r="I548" i="2"/>
  <c r="L547" i="2"/>
  <c r="K547" i="2"/>
  <c r="K547" i="2" a="1"/>
  <c r="J547" i="2"/>
  <c r="I547" i="2"/>
  <c r="L546" i="2"/>
  <c r="K546" i="2"/>
  <c r="K546" i="2" a="1"/>
  <c r="J546" i="2"/>
  <c r="I546" i="2"/>
  <c r="L545" i="2"/>
  <c r="K545" i="2"/>
  <c r="K545" i="2" a="1"/>
  <c r="J545" i="2"/>
  <c r="I545" i="2"/>
  <c r="L544" i="2"/>
  <c r="K544" i="2"/>
  <c r="K544" i="2" a="1"/>
  <c r="J544" i="2"/>
  <c r="I544" i="2"/>
  <c r="L543" i="2"/>
  <c r="K543" i="2"/>
  <c r="K543" i="2" a="1"/>
  <c r="J543" i="2"/>
  <c r="I543" i="2"/>
  <c r="L542" i="2"/>
  <c r="K542" i="2"/>
  <c r="K542" i="2" a="1"/>
  <c r="J542" i="2"/>
  <c r="I542" i="2"/>
  <c r="L541" i="2"/>
  <c r="K541" i="2"/>
  <c r="K541" i="2" a="1"/>
  <c r="J541" i="2"/>
  <c r="I541" i="2"/>
  <c r="L540" i="2"/>
  <c r="K540" i="2"/>
  <c r="K540" i="2" a="1"/>
  <c r="J540" i="2"/>
  <c r="I540" i="2"/>
  <c r="L539" i="2"/>
  <c r="K539" i="2"/>
  <c r="K539" i="2" a="1"/>
  <c r="J539" i="2"/>
  <c r="I539" i="2"/>
  <c r="L538" i="2"/>
  <c r="K538" i="2"/>
  <c r="K538" i="2" a="1"/>
  <c r="J538" i="2"/>
  <c r="I538" i="2"/>
  <c r="L537" i="2"/>
  <c r="K537" i="2"/>
  <c r="K537" i="2" a="1"/>
  <c r="J537" i="2"/>
  <c r="I537" i="2"/>
  <c r="L536" i="2"/>
  <c r="K536" i="2"/>
  <c r="K536" i="2" a="1"/>
  <c r="J536" i="2"/>
  <c r="I536" i="2"/>
  <c r="L535" i="2"/>
  <c r="K535" i="2"/>
  <c r="K535" i="2" a="1"/>
  <c r="J535" i="2"/>
  <c r="I535" i="2"/>
  <c r="L534" i="2"/>
  <c r="K534" i="2"/>
  <c r="K534" i="2" a="1"/>
  <c r="J534" i="2"/>
  <c r="I534" i="2"/>
  <c r="L533" i="2"/>
  <c r="K533" i="2"/>
  <c r="K533" i="2" a="1"/>
  <c r="J533" i="2"/>
  <c r="I533" i="2"/>
  <c r="L532" i="2"/>
  <c r="K532" i="2"/>
  <c r="K532" i="2" a="1"/>
  <c r="J532" i="2"/>
  <c r="I532" i="2"/>
  <c r="L531" i="2"/>
  <c r="K531" i="2"/>
  <c r="K531" i="2" a="1"/>
  <c r="J531" i="2"/>
  <c r="I531" i="2"/>
  <c r="L530" i="2"/>
  <c r="K530" i="2"/>
  <c r="K530" i="2" a="1"/>
  <c r="J530" i="2"/>
  <c r="I530" i="2"/>
  <c r="L529" i="2"/>
  <c r="K529" i="2"/>
  <c r="K529" i="2" a="1"/>
  <c r="J529" i="2"/>
  <c r="I529" i="2"/>
  <c r="L528" i="2"/>
  <c r="K528" i="2"/>
  <c r="K528" i="2" a="1"/>
  <c r="J528" i="2"/>
  <c r="I528" i="2"/>
  <c r="L527" i="2"/>
  <c r="K527" i="2"/>
  <c r="K527" i="2" a="1"/>
  <c r="J527" i="2"/>
  <c r="I527" i="2"/>
  <c r="L526" i="2"/>
  <c r="K526" i="2"/>
  <c r="K526" i="2" a="1"/>
  <c r="J526" i="2"/>
  <c r="I526" i="2"/>
  <c r="L525" i="2"/>
  <c r="K525" i="2"/>
  <c r="K525" i="2" a="1"/>
  <c r="J525" i="2"/>
  <c r="I525" i="2"/>
  <c r="L524" i="2"/>
  <c r="K524" i="2"/>
  <c r="K524" i="2" a="1"/>
  <c r="J524" i="2"/>
  <c r="I524" i="2"/>
  <c r="L523" i="2"/>
  <c r="K523" i="2"/>
  <c r="K523" i="2" a="1"/>
  <c r="J523" i="2"/>
  <c r="I523" i="2"/>
  <c r="L522" i="2"/>
  <c r="K522" i="2"/>
  <c r="K522" i="2" a="1"/>
  <c r="J522" i="2"/>
  <c r="I522" i="2"/>
  <c r="L521" i="2"/>
  <c r="K521" i="2"/>
  <c r="K521" i="2" a="1"/>
  <c r="J521" i="2"/>
  <c r="I521" i="2"/>
  <c r="L520" i="2"/>
  <c r="K520" i="2"/>
  <c r="K520" i="2" a="1"/>
  <c r="J520" i="2"/>
  <c r="I520" i="2"/>
  <c r="L519" i="2"/>
  <c r="K519" i="2"/>
  <c r="K519" i="2" a="1"/>
  <c r="J519" i="2"/>
  <c r="I519" i="2"/>
  <c r="L518" i="2"/>
  <c r="K518" i="2"/>
  <c r="K518" i="2" a="1"/>
  <c r="J518" i="2"/>
  <c r="I518" i="2"/>
  <c r="L517" i="2"/>
  <c r="K517" i="2"/>
  <c r="K517" i="2" a="1"/>
  <c r="J517" i="2"/>
  <c r="I517" i="2"/>
  <c r="L516" i="2"/>
  <c r="K516" i="2"/>
  <c r="K516" i="2" a="1"/>
  <c r="J516" i="2"/>
  <c r="I516" i="2"/>
  <c r="L515" i="2"/>
  <c r="K515" i="2"/>
  <c r="K515" i="2" a="1"/>
  <c r="J515" i="2"/>
  <c r="I515" i="2"/>
  <c r="L514" i="2"/>
  <c r="K514" i="2"/>
  <c r="K514" i="2" a="1"/>
  <c r="J514" i="2"/>
  <c r="I514" i="2"/>
  <c r="L513" i="2"/>
  <c r="K513" i="2"/>
  <c r="K513" i="2" a="1"/>
  <c r="J513" i="2"/>
  <c r="I513" i="2"/>
  <c r="L512" i="2"/>
  <c r="K512" i="2"/>
  <c r="K512" i="2" a="1"/>
  <c r="J512" i="2"/>
  <c r="I512" i="2"/>
  <c r="L511" i="2"/>
  <c r="K511" i="2"/>
  <c r="K511" i="2" a="1"/>
  <c r="J511" i="2"/>
  <c r="I511" i="2"/>
  <c r="L510" i="2"/>
  <c r="K510" i="2"/>
  <c r="K510" i="2" a="1"/>
  <c r="J510" i="2"/>
  <c r="I510" i="2"/>
  <c r="L509" i="2"/>
  <c r="K509" i="2"/>
  <c r="K509" i="2" a="1"/>
  <c r="J509" i="2"/>
  <c r="I509" i="2"/>
  <c r="L508" i="2"/>
  <c r="K508" i="2"/>
  <c r="K508" i="2" a="1"/>
  <c r="J508" i="2"/>
  <c r="I508" i="2"/>
  <c r="L507" i="2"/>
  <c r="K507" i="2"/>
  <c r="K507" i="2" a="1"/>
  <c r="J507" i="2"/>
  <c r="I507" i="2"/>
  <c r="L506" i="2"/>
  <c r="K506" i="2"/>
  <c r="K506" i="2" a="1"/>
  <c r="J506" i="2"/>
  <c r="I506" i="2"/>
  <c r="L505" i="2"/>
  <c r="K505" i="2"/>
  <c r="K505" i="2" a="1"/>
  <c r="J505" i="2"/>
  <c r="I505" i="2"/>
  <c r="L504" i="2"/>
  <c r="K504" i="2"/>
  <c r="K504" i="2" a="1"/>
  <c r="J504" i="2"/>
  <c r="I504" i="2"/>
  <c r="L503" i="2"/>
  <c r="K503" i="2"/>
  <c r="K503" i="2" a="1"/>
  <c r="J503" i="2"/>
  <c r="I503" i="2"/>
  <c r="L502" i="2"/>
  <c r="K502" i="2"/>
  <c r="K502" i="2" a="1"/>
  <c r="J502" i="2"/>
  <c r="I502" i="2"/>
  <c r="L501" i="2"/>
  <c r="K501" i="2"/>
  <c r="K501" i="2" a="1"/>
  <c r="J501" i="2"/>
  <c r="I501" i="2"/>
  <c r="L500" i="2"/>
  <c r="K500" i="2"/>
  <c r="K500" i="2" a="1"/>
  <c r="J500" i="2"/>
  <c r="I500" i="2"/>
  <c r="L499" i="2"/>
  <c r="K499" i="2"/>
  <c r="K499" i="2" a="1"/>
  <c r="J499" i="2"/>
  <c r="I499" i="2"/>
  <c r="L498" i="2"/>
  <c r="K498" i="2"/>
  <c r="K498" i="2" a="1"/>
  <c r="J498" i="2"/>
  <c r="I498" i="2"/>
  <c r="L497" i="2"/>
  <c r="K497" i="2"/>
  <c r="K497" i="2" a="1"/>
  <c r="J497" i="2"/>
  <c r="I497" i="2"/>
  <c r="L496" i="2"/>
  <c r="K496" i="2"/>
  <c r="K496" i="2" a="1"/>
  <c r="J496" i="2"/>
  <c r="I496" i="2"/>
  <c r="L495" i="2"/>
  <c r="K495" i="2"/>
  <c r="K495" i="2" a="1"/>
  <c r="J495" i="2"/>
  <c r="I495" i="2"/>
  <c r="L494" i="2"/>
  <c r="K494" i="2"/>
  <c r="K494" i="2" a="1"/>
  <c r="J494" i="2"/>
  <c r="I494" i="2"/>
  <c r="L493" i="2"/>
  <c r="K493" i="2"/>
  <c r="K493" i="2" a="1"/>
  <c r="J493" i="2"/>
  <c r="I493" i="2"/>
  <c r="L492" i="2"/>
  <c r="K492" i="2"/>
  <c r="K492" i="2" a="1"/>
  <c r="J492" i="2"/>
  <c r="I492" i="2"/>
  <c r="L491" i="2"/>
  <c r="K491" i="2"/>
  <c r="K491" i="2" a="1"/>
  <c r="J491" i="2"/>
  <c r="I491" i="2"/>
  <c r="L490" i="2"/>
  <c r="K490" i="2"/>
  <c r="K490" i="2" a="1"/>
  <c r="J490" i="2"/>
  <c r="I490" i="2"/>
  <c r="L489" i="2"/>
  <c r="K489" i="2"/>
  <c r="K489" i="2" a="1"/>
  <c r="J489" i="2"/>
  <c r="I489" i="2"/>
  <c r="L488" i="2"/>
  <c r="K488" i="2"/>
  <c r="K488" i="2" a="1"/>
  <c r="J488" i="2"/>
  <c r="I488" i="2"/>
  <c r="L487" i="2"/>
  <c r="K487" i="2"/>
  <c r="K487" i="2" a="1"/>
  <c r="J487" i="2"/>
  <c r="I487" i="2"/>
  <c r="L486" i="2"/>
  <c r="K486" i="2"/>
  <c r="K486" i="2" a="1"/>
  <c r="J486" i="2"/>
  <c r="I486" i="2"/>
  <c r="L485" i="2"/>
  <c r="K485" i="2"/>
  <c r="K485" i="2" a="1"/>
  <c r="J485" i="2"/>
  <c r="I485" i="2"/>
  <c r="L484" i="2"/>
  <c r="K484" i="2"/>
  <c r="K484" i="2" a="1"/>
  <c r="J484" i="2"/>
  <c r="I484" i="2"/>
  <c r="L483" i="2"/>
  <c r="K483" i="2"/>
  <c r="K483" i="2" a="1"/>
  <c r="J483" i="2"/>
  <c r="I483" i="2"/>
  <c r="L482" i="2"/>
  <c r="K482" i="2"/>
  <c r="K482" i="2" a="1"/>
  <c r="J482" i="2"/>
  <c r="I482" i="2"/>
  <c r="L481" i="2"/>
  <c r="K481" i="2"/>
  <c r="K481" i="2" a="1"/>
  <c r="J481" i="2"/>
  <c r="I481" i="2"/>
  <c r="L480" i="2"/>
  <c r="K480" i="2"/>
  <c r="K480" i="2" a="1"/>
  <c r="J480" i="2"/>
  <c r="I480" i="2"/>
  <c r="L479" i="2"/>
  <c r="K479" i="2"/>
  <c r="K479" i="2" a="1"/>
  <c r="J479" i="2"/>
  <c r="I479" i="2"/>
  <c r="L478" i="2"/>
  <c r="K478" i="2"/>
  <c r="K478" i="2" a="1"/>
  <c r="J478" i="2"/>
  <c r="I478" i="2"/>
  <c r="L477" i="2"/>
  <c r="K477" i="2"/>
  <c r="K477" i="2" a="1"/>
  <c r="J477" i="2"/>
  <c r="I477" i="2"/>
  <c r="L476" i="2"/>
  <c r="K476" i="2"/>
  <c r="K476" i="2" a="1"/>
  <c r="J476" i="2"/>
  <c r="I476" i="2"/>
  <c r="L475" i="2"/>
  <c r="K475" i="2"/>
  <c r="K475" i="2" a="1"/>
  <c r="J475" i="2"/>
  <c r="I475" i="2"/>
  <c r="L474" i="2"/>
  <c r="K474" i="2"/>
  <c r="K474" i="2" a="1"/>
  <c r="J474" i="2"/>
  <c r="I474" i="2"/>
  <c r="L473" i="2"/>
  <c r="K473" i="2"/>
  <c r="K473" i="2" a="1"/>
  <c r="J473" i="2"/>
  <c r="I473" i="2"/>
  <c r="L472" i="2"/>
  <c r="K472" i="2"/>
  <c r="K472" i="2" a="1"/>
  <c r="J472" i="2"/>
  <c r="I472" i="2"/>
  <c r="L471" i="2"/>
  <c r="K471" i="2"/>
  <c r="K471" i="2" a="1"/>
  <c r="J471" i="2"/>
  <c r="I471" i="2"/>
  <c r="L470" i="2"/>
  <c r="K470" i="2"/>
  <c r="K470" i="2" a="1"/>
  <c r="J470" i="2"/>
  <c r="I470" i="2"/>
  <c r="L469" i="2"/>
  <c r="K469" i="2"/>
  <c r="K469" i="2" a="1"/>
  <c r="J469" i="2"/>
  <c r="I469" i="2"/>
  <c r="L468" i="2"/>
  <c r="K468" i="2"/>
  <c r="K468" i="2" a="1"/>
  <c r="J468" i="2"/>
  <c r="I468" i="2"/>
  <c r="L467" i="2"/>
  <c r="K467" i="2"/>
  <c r="K467" i="2" a="1"/>
  <c r="J467" i="2"/>
  <c r="I467" i="2"/>
  <c r="L466" i="2"/>
  <c r="K466" i="2"/>
  <c r="K466" i="2" a="1"/>
  <c r="J466" i="2"/>
  <c r="I466" i="2"/>
  <c r="L465" i="2"/>
  <c r="K465" i="2"/>
  <c r="K465" i="2" a="1"/>
  <c r="J465" i="2"/>
  <c r="I465" i="2"/>
  <c r="L464" i="2"/>
  <c r="K464" i="2"/>
  <c r="K464" i="2" a="1"/>
  <c r="J464" i="2"/>
  <c r="I464" i="2"/>
  <c r="L463" i="2"/>
  <c r="K463" i="2"/>
  <c r="K463" i="2" a="1"/>
  <c r="J463" i="2"/>
  <c r="I463" i="2"/>
  <c r="L462" i="2"/>
  <c r="K462" i="2"/>
  <c r="K462" i="2" a="1"/>
  <c r="J462" i="2"/>
  <c r="I462" i="2"/>
  <c r="L461" i="2"/>
  <c r="K461" i="2"/>
  <c r="K461" i="2" a="1"/>
  <c r="J461" i="2"/>
  <c r="I461" i="2"/>
  <c r="L460" i="2"/>
  <c r="K460" i="2"/>
  <c r="K460" i="2" a="1"/>
  <c r="J460" i="2"/>
  <c r="I460" i="2"/>
  <c r="L459" i="2"/>
  <c r="K459" i="2"/>
  <c r="K459" i="2" a="1"/>
  <c r="J459" i="2"/>
  <c r="I459" i="2"/>
  <c r="L458" i="2"/>
  <c r="K458" i="2"/>
  <c r="K458" i="2" a="1"/>
  <c r="J458" i="2"/>
  <c r="I458" i="2"/>
  <c r="L457" i="2"/>
  <c r="K457" i="2"/>
  <c r="K457" i="2" a="1"/>
  <c r="J457" i="2"/>
  <c r="I457" i="2"/>
  <c r="L456" i="2"/>
  <c r="K456" i="2"/>
  <c r="K456" i="2" a="1"/>
  <c r="J456" i="2"/>
  <c r="I456" i="2"/>
  <c r="L455" i="2"/>
  <c r="K455" i="2"/>
  <c r="K455" i="2" a="1"/>
  <c r="J455" i="2"/>
  <c r="I455" i="2"/>
  <c r="L454" i="2"/>
  <c r="K454" i="2"/>
  <c r="K454" i="2" a="1"/>
  <c r="J454" i="2"/>
  <c r="I454" i="2"/>
  <c r="L453" i="2"/>
  <c r="K453" i="2"/>
  <c r="K453" i="2" a="1"/>
  <c r="J453" i="2"/>
  <c r="I453" i="2"/>
  <c r="L452" i="2"/>
  <c r="K452" i="2"/>
  <c r="K452" i="2" a="1"/>
  <c r="J452" i="2"/>
  <c r="I452" i="2"/>
  <c r="L451" i="2"/>
  <c r="K451" i="2"/>
  <c r="K451" i="2" a="1"/>
  <c r="J451" i="2"/>
  <c r="I451" i="2"/>
  <c r="L450" i="2"/>
  <c r="K450" i="2"/>
  <c r="K450" i="2" a="1"/>
  <c r="J450" i="2"/>
  <c r="I450" i="2"/>
  <c r="L449" i="2"/>
  <c r="K449" i="2"/>
  <c r="K449" i="2" a="1"/>
  <c r="J449" i="2"/>
  <c r="I449" i="2"/>
  <c r="L448" i="2"/>
  <c r="K448" i="2"/>
  <c r="K448" i="2" a="1"/>
  <c r="J448" i="2"/>
  <c r="I448" i="2"/>
  <c r="L447" i="2"/>
  <c r="K447" i="2"/>
  <c r="K447" i="2" a="1"/>
  <c r="J447" i="2"/>
  <c r="I447" i="2"/>
  <c r="L446" i="2"/>
  <c r="K446" i="2"/>
  <c r="K446" i="2" a="1"/>
  <c r="J446" i="2"/>
  <c r="I446" i="2"/>
  <c r="L445" i="2"/>
  <c r="K445" i="2"/>
  <c r="K445" i="2" a="1"/>
  <c r="J445" i="2"/>
  <c r="I445" i="2"/>
  <c r="L444" i="2"/>
  <c r="K444" i="2"/>
  <c r="K444" i="2" a="1"/>
  <c r="J444" i="2"/>
  <c r="I444" i="2"/>
  <c r="L443" i="2"/>
  <c r="K443" i="2"/>
  <c r="K443" i="2" a="1"/>
  <c r="J443" i="2"/>
  <c r="I443" i="2"/>
  <c r="L442" i="2"/>
  <c r="K442" i="2"/>
  <c r="K442" i="2" a="1"/>
  <c r="J442" i="2"/>
  <c r="I442" i="2"/>
  <c r="L441" i="2"/>
  <c r="K441" i="2"/>
  <c r="K441" i="2" a="1"/>
  <c r="J441" i="2"/>
  <c r="I441" i="2"/>
  <c r="L440" i="2"/>
  <c r="K440" i="2"/>
  <c r="K440" i="2" a="1"/>
  <c r="J440" i="2"/>
  <c r="I440" i="2"/>
  <c r="L439" i="2"/>
  <c r="K439" i="2"/>
  <c r="K439" i="2" a="1"/>
  <c r="J439" i="2"/>
  <c r="I439" i="2"/>
  <c r="L438" i="2"/>
  <c r="K438" i="2"/>
  <c r="K438" i="2" a="1"/>
  <c r="J438" i="2"/>
  <c r="I438" i="2"/>
  <c r="L437" i="2"/>
  <c r="K437" i="2"/>
  <c r="K437" i="2" a="1"/>
  <c r="J437" i="2"/>
  <c r="I437" i="2"/>
  <c r="L436" i="2"/>
  <c r="K436" i="2"/>
  <c r="K436" i="2" a="1"/>
  <c r="J436" i="2"/>
  <c r="I436" i="2"/>
  <c r="L435" i="2"/>
  <c r="K435" i="2"/>
  <c r="K435" i="2" a="1"/>
  <c r="J435" i="2"/>
  <c r="I435" i="2"/>
  <c r="L434" i="2"/>
  <c r="K434" i="2"/>
  <c r="K434" i="2" a="1"/>
  <c r="J434" i="2"/>
  <c r="I434" i="2"/>
  <c r="L433" i="2"/>
  <c r="K433" i="2"/>
  <c r="K433" i="2" a="1"/>
  <c r="J433" i="2"/>
  <c r="I433" i="2"/>
  <c r="L432" i="2"/>
  <c r="K432" i="2"/>
  <c r="K432" i="2" a="1"/>
  <c r="J432" i="2"/>
  <c r="I432" i="2"/>
  <c r="L431" i="2"/>
  <c r="K431" i="2"/>
  <c r="K431" i="2" a="1"/>
  <c r="J431" i="2"/>
  <c r="I431" i="2"/>
  <c r="L430" i="2"/>
  <c r="K430" i="2"/>
  <c r="K430" i="2" a="1"/>
  <c r="J430" i="2"/>
  <c r="I430" i="2"/>
  <c r="L429" i="2"/>
  <c r="K429" i="2"/>
  <c r="K429" i="2" a="1"/>
  <c r="J429" i="2"/>
  <c r="I429" i="2"/>
  <c r="L428" i="2"/>
  <c r="K428" i="2"/>
  <c r="K428" i="2" a="1"/>
  <c r="J428" i="2"/>
  <c r="I428" i="2"/>
  <c r="L427" i="2"/>
  <c r="K427" i="2"/>
  <c r="K427" i="2" a="1"/>
  <c r="J427" i="2"/>
  <c r="I427" i="2"/>
  <c r="L426" i="2"/>
  <c r="K426" i="2"/>
  <c r="K426" i="2" a="1"/>
  <c r="J426" i="2"/>
  <c r="I426" i="2"/>
  <c r="L425" i="2"/>
  <c r="K425" i="2"/>
  <c r="K425" i="2" a="1"/>
  <c r="J425" i="2"/>
  <c r="I425" i="2"/>
  <c r="L424" i="2"/>
  <c r="K424" i="2"/>
  <c r="K424" i="2" a="1"/>
  <c r="J424" i="2"/>
  <c r="I424" i="2"/>
  <c r="L423" i="2"/>
  <c r="K423" i="2"/>
  <c r="K423" i="2" a="1"/>
  <c r="J423" i="2"/>
  <c r="I423" i="2"/>
  <c r="L422" i="2"/>
  <c r="K422" i="2"/>
  <c r="K422" i="2" a="1"/>
  <c r="J422" i="2"/>
  <c r="I422" i="2"/>
  <c r="L421" i="2"/>
  <c r="K421" i="2"/>
  <c r="K421" i="2" a="1"/>
  <c r="J421" i="2"/>
  <c r="I421" i="2"/>
  <c r="L420" i="2"/>
  <c r="K420" i="2"/>
  <c r="K420" i="2" a="1"/>
  <c r="J420" i="2"/>
  <c r="I420" i="2"/>
  <c r="L419" i="2"/>
  <c r="K419" i="2"/>
  <c r="K419" i="2" a="1"/>
  <c r="J419" i="2"/>
  <c r="I419" i="2"/>
  <c r="L418" i="2"/>
  <c r="K418" i="2"/>
  <c r="K418" i="2" a="1"/>
  <c r="J418" i="2"/>
  <c r="I418" i="2"/>
  <c r="L417" i="2"/>
  <c r="K417" i="2"/>
  <c r="K417" i="2" a="1"/>
  <c r="J417" i="2"/>
  <c r="I417" i="2"/>
  <c r="L416" i="2"/>
  <c r="K416" i="2"/>
  <c r="K416" i="2" a="1"/>
  <c r="J416" i="2"/>
  <c r="I416" i="2"/>
  <c r="L415" i="2"/>
  <c r="K415" i="2"/>
  <c r="K415" i="2" a="1"/>
  <c r="J415" i="2"/>
  <c r="I415" i="2"/>
  <c r="L414" i="2"/>
  <c r="K414" i="2"/>
  <c r="K414" i="2" a="1"/>
  <c r="J414" i="2"/>
  <c r="I414" i="2"/>
  <c r="L413" i="2"/>
  <c r="K413" i="2"/>
  <c r="K413" i="2" a="1"/>
  <c r="J413" i="2"/>
  <c r="I413" i="2"/>
  <c r="L412" i="2"/>
  <c r="K412" i="2"/>
  <c r="K412" i="2" a="1"/>
  <c r="J412" i="2"/>
  <c r="I412" i="2"/>
  <c r="L411" i="2"/>
  <c r="K411" i="2"/>
  <c r="K411" i="2" a="1"/>
  <c r="J411" i="2"/>
  <c r="I411" i="2"/>
  <c r="L410" i="2"/>
  <c r="K410" i="2"/>
  <c r="K410" i="2" a="1"/>
  <c r="J410" i="2"/>
  <c r="I410" i="2"/>
  <c r="L409" i="2"/>
  <c r="K409" i="2"/>
  <c r="K409" i="2" a="1"/>
  <c r="J409" i="2"/>
  <c r="I409" i="2"/>
  <c r="L408" i="2"/>
  <c r="K408" i="2"/>
  <c r="K408" i="2" a="1"/>
  <c r="J408" i="2"/>
  <c r="I408" i="2"/>
  <c r="L407" i="2"/>
  <c r="K407" i="2"/>
  <c r="K407" i="2" a="1"/>
  <c r="J407" i="2"/>
  <c r="I407" i="2"/>
  <c r="L406" i="2"/>
  <c r="K406" i="2"/>
  <c r="K406" i="2" a="1"/>
  <c r="J406" i="2"/>
  <c r="I406" i="2"/>
  <c r="L405" i="2"/>
  <c r="K405" i="2"/>
  <c r="K405" i="2" a="1"/>
  <c r="J405" i="2"/>
  <c r="I405" i="2"/>
  <c r="L404" i="2"/>
  <c r="K404" i="2"/>
  <c r="K404" i="2" a="1"/>
  <c r="J404" i="2"/>
  <c r="I404" i="2"/>
  <c r="L403" i="2"/>
  <c r="K403" i="2"/>
  <c r="K403" i="2" a="1"/>
  <c r="J403" i="2"/>
  <c r="I403" i="2"/>
  <c r="L402" i="2"/>
  <c r="K402" i="2"/>
  <c r="K402" i="2" a="1"/>
  <c r="J402" i="2"/>
  <c r="I402" i="2"/>
  <c r="L401" i="2"/>
  <c r="K401" i="2"/>
  <c r="K401" i="2" a="1"/>
  <c r="J401" i="2"/>
  <c r="I401" i="2"/>
  <c r="L400" i="2"/>
  <c r="K400" i="2"/>
  <c r="K400" i="2" a="1"/>
  <c r="J400" i="2"/>
  <c r="I400" i="2"/>
  <c r="L399" i="2"/>
  <c r="K399" i="2"/>
  <c r="K399" i="2" a="1"/>
  <c r="J399" i="2"/>
  <c r="I399" i="2"/>
  <c r="L398" i="2"/>
  <c r="K398" i="2"/>
  <c r="K398" i="2" a="1"/>
  <c r="J398" i="2"/>
  <c r="I398" i="2"/>
  <c r="L397" i="2"/>
  <c r="K397" i="2"/>
  <c r="K397" i="2" a="1"/>
  <c r="J397" i="2"/>
  <c r="I397" i="2"/>
  <c r="L396" i="2"/>
  <c r="K396" i="2"/>
  <c r="K396" i="2" a="1"/>
  <c r="J396" i="2"/>
  <c r="I396" i="2"/>
  <c r="L395" i="2"/>
  <c r="K395" i="2"/>
  <c r="K395" i="2" a="1"/>
  <c r="J395" i="2"/>
  <c r="I395" i="2"/>
  <c r="L394" i="2"/>
  <c r="K394" i="2"/>
  <c r="K394" i="2" a="1"/>
  <c r="J394" i="2"/>
  <c r="I394" i="2"/>
  <c r="L393" i="2"/>
  <c r="K393" i="2"/>
  <c r="K393" i="2" a="1"/>
  <c r="J393" i="2"/>
  <c r="I393" i="2"/>
  <c r="L392" i="2"/>
  <c r="K392" i="2"/>
  <c r="K392" i="2" a="1"/>
  <c r="J392" i="2"/>
  <c r="I392" i="2"/>
  <c r="L391" i="2"/>
  <c r="K391" i="2"/>
  <c r="K391" i="2" a="1"/>
  <c r="J391" i="2"/>
  <c r="I391" i="2"/>
  <c r="L390" i="2"/>
  <c r="K390" i="2"/>
  <c r="K390" i="2" a="1"/>
  <c r="J390" i="2"/>
  <c r="I390" i="2"/>
  <c r="L389" i="2"/>
  <c r="K389" i="2"/>
  <c r="K389" i="2" a="1"/>
  <c r="J389" i="2"/>
  <c r="I389" i="2"/>
  <c r="L388" i="2"/>
  <c r="K388" i="2"/>
  <c r="K388" i="2" a="1"/>
  <c r="J388" i="2"/>
  <c r="I388" i="2"/>
  <c r="L387" i="2"/>
  <c r="K387" i="2"/>
  <c r="K387" i="2" a="1"/>
  <c r="J387" i="2"/>
  <c r="I387" i="2"/>
  <c r="L386" i="2"/>
  <c r="K386" i="2"/>
  <c r="K386" i="2" a="1"/>
  <c r="J386" i="2"/>
  <c r="I386" i="2"/>
  <c r="L385" i="2"/>
  <c r="K385" i="2"/>
  <c r="K385" i="2" a="1"/>
  <c r="J385" i="2"/>
  <c r="I385" i="2"/>
  <c r="L384" i="2"/>
  <c r="K384" i="2"/>
  <c r="K384" i="2" a="1"/>
  <c r="J384" i="2"/>
  <c r="I384" i="2"/>
  <c r="L383" i="2"/>
  <c r="K383" i="2"/>
  <c r="K383" i="2" a="1"/>
  <c r="J383" i="2"/>
  <c r="I383" i="2"/>
  <c r="L382" i="2"/>
  <c r="K382" i="2"/>
  <c r="K382" i="2" a="1"/>
  <c r="J382" i="2"/>
  <c r="I382" i="2"/>
  <c r="L381" i="2"/>
  <c r="K381" i="2"/>
  <c r="K381" i="2" a="1"/>
  <c r="J381" i="2"/>
  <c r="I381" i="2"/>
  <c r="L380" i="2"/>
  <c r="K380" i="2"/>
  <c r="K380" i="2" a="1"/>
  <c r="J380" i="2"/>
  <c r="I380" i="2"/>
  <c r="L379" i="2"/>
  <c r="K379" i="2"/>
  <c r="K379" i="2" a="1"/>
  <c r="J379" i="2"/>
  <c r="I379" i="2"/>
  <c r="L378" i="2"/>
  <c r="K378" i="2"/>
  <c r="K378" i="2" a="1"/>
  <c r="J378" i="2"/>
  <c r="I378" i="2"/>
  <c r="L377" i="2"/>
  <c r="K377" i="2"/>
  <c r="K377" i="2" a="1"/>
  <c r="J377" i="2"/>
  <c r="I377" i="2"/>
  <c r="L376" i="2"/>
  <c r="K376" i="2"/>
  <c r="K376" i="2" a="1"/>
  <c r="J376" i="2"/>
  <c r="I376" i="2"/>
  <c r="L375" i="2"/>
  <c r="K375" i="2"/>
  <c r="K375" i="2" a="1"/>
  <c r="J375" i="2"/>
  <c r="I375" i="2"/>
  <c r="L374" i="2"/>
  <c r="K374" i="2"/>
  <c r="K374" i="2" a="1"/>
  <c r="J374" i="2"/>
  <c r="I374" i="2"/>
  <c r="L373" i="2"/>
  <c r="K373" i="2"/>
  <c r="K373" i="2" a="1"/>
  <c r="J373" i="2"/>
  <c r="I373" i="2"/>
  <c r="L372" i="2"/>
  <c r="K372" i="2"/>
  <c r="K372" i="2" a="1"/>
  <c r="J372" i="2"/>
  <c r="I372" i="2"/>
  <c r="L371" i="2"/>
  <c r="K371" i="2"/>
  <c r="K371" i="2" a="1"/>
  <c r="J371" i="2"/>
  <c r="I371" i="2"/>
  <c r="L370" i="2"/>
  <c r="K370" i="2"/>
  <c r="K370" i="2" a="1"/>
  <c r="J370" i="2"/>
  <c r="I370" i="2"/>
  <c r="L369" i="2"/>
  <c r="K369" i="2"/>
  <c r="K369" i="2" a="1"/>
  <c r="J369" i="2"/>
  <c r="I369" i="2"/>
  <c r="L368" i="2"/>
  <c r="K368" i="2"/>
  <c r="K368" i="2" a="1"/>
  <c r="J368" i="2"/>
  <c r="I368" i="2"/>
  <c r="L367" i="2"/>
  <c r="K367" i="2"/>
  <c r="K367" i="2" a="1"/>
  <c r="J367" i="2"/>
  <c r="I367" i="2"/>
  <c r="L366" i="2"/>
  <c r="K366" i="2"/>
  <c r="K366" i="2" a="1"/>
  <c r="J366" i="2"/>
  <c r="I366" i="2"/>
  <c r="L365" i="2"/>
  <c r="K365" i="2"/>
  <c r="K365" i="2" a="1"/>
  <c r="J365" i="2"/>
  <c r="I365" i="2"/>
  <c r="L364" i="2"/>
  <c r="K364" i="2"/>
  <c r="K364" i="2" a="1"/>
  <c r="J364" i="2"/>
  <c r="I364" i="2"/>
  <c r="L363" i="2"/>
  <c r="K363" i="2"/>
  <c r="K363" i="2" a="1"/>
  <c r="J363" i="2"/>
  <c r="I363" i="2"/>
  <c r="L362" i="2"/>
  <c r="K362" i="2"/>
  <c r="K362" i="2" a="1"/>
  <c r="J362" i="2"/>
  <c r="I362" i="2"/>
  <c r="L361" i="2"/>
  <c r="K361" i="2"/>
  <c r="K361" i="2" a="1"/>
  <c r="J361" i="2"/>
  <c r="I361" i="2"/>
  <c r="L360" i="2"/>
  <c r="K360" i="2"/>
  <c r="K360" i="2" a="1"/>
  <c r="J360" i="2"/>
  <c r="I360" i="2"/>
  <c r="L359" i="2"/>
  <c r="K359" i="2"/>
  <c r="K359" i="2" a="1"/>
  <c r="J359" i="2"/>
  <c r="I359" i="2"/>
  <c r="L358" i="2"/>
  <c r="K358" i="2"/>
  <c r="K358" i="2" a="1"/>
  <c r="J358" i="2"/>
  <c r="I358" i="2"/>
  <c r="L357" i="2"/>
  <c r="K357" i="2"/>
  <c r="K357" i="2" a="1"/>
  <c r="J357" i="2"/>
  <c r="I357" i="2"/>
  <c r="L356" i="2"/>
  <c r="K356" i="2"/>
  <c r="K356" i="2" a="1"/>
  <c r="J356" i="2"/>
  <c r="I356" i="2"/>
  <c r="L355" i="2"/>
  <c r="K355" i="2"/>
  <c r="K355" i="2" a="1"/>
  <c r="J355" i="2"/>
  <c r="I355" i="2"/>
  <c r="L354" i="2"/>
  <c r="K354" i="2"/>
  <c r="K354" i="2" a="1"/>
  <c r="J354" i="2"/>
  <c r="I354" i="2"/>
  <c r="L353" i="2"/>
  <c r="K353" i="2"/>
  <c r="K353" i="2" a="1"/>
  <c r="J353" i="2"/>
  <c r="I353" i="2"/>
  <c r="L352" i="2"/>
  <c r="K352" i="2"/>
  <c r="K352" i="2" a="1"/>
  <c r="J352" i="2"/>
  <c r="I352" i="2"/>
  <c r="L351" i="2"/>
  <c r="K351" i="2"/>
  <c r="K351" i="2" a="1"/>
  <c r="J351" i="2"/>
  <c r="I351" i="2"/>
  <c r="L350" i="2"/>
  <c r="K350" i="2"/>
  <c r="K350" i="2" a="1"/>
  <c r="J350" i="2"/>
  <c r="I350" i="2"/>
  <c r="L349" i="2"/>
  <c r="K349" i="2"/>
  <c r="K349" i="2" a="1"/>
  <c r="J349" i="2"/>
  <c r="I349" i="2"/>
  <c r="L348" i="2"/>
  <c r="K348" i="2"/>
  <c r="K348" i="2" a="1"/>
  <c r="J348" i="2"/>
  <c r="I348" i="2"/>
  <c r="L347" i="2"/>
  <c r="K347" i="2"/>
  <c r="K347" i="2" a="1"/>
  <c r="J347" i="2"/>
  <c r="I347" i="2"/>
  <c r="L346" i="2"/>
  <c r="K346" i="2"/>
  <c r="K346" i="2" a="1"/>
  <c r="J346" i="2"/>
  <c r="I346" i="2"/>
  <c r="L345" i="2"/>
  <c r="K345" i="2"/>
  <c r="K345" i="2" a="1"/>
  <c r="J345" i="2"/>
  <c r="I345" i="2"/>
  <c r="L344" i="2"/>
  <c r="K344" i="2"/>
  <c r="K344" i="2" a="1"/>
  <c r="J344" i="2"/>
  <c r="I344" i="2"/>
  <c r="L343" i="2"/>
  <c r="K343" i="2"/>
  <c r="K343" i="2" a="1"/>
  <c r="J343" i="2"/>
  <c r="I343" i="2"/>
  <c r="L342" i="2"/>
  <c r="K342" i="2"/>
  <c r="K342" i="2" a="1"/>
  <c r="J342" i="2"/>
  <c r="I342" i="2"/>
  <c r="L341" i="2"/>
  <c r="K341" i="2"/>
  <c r="K341" i="2" a="1"/>
  <c r="J341" i="2"/>
  <c r="I341" i="2"/>
  <c r="L340" i="2"/>
  <c r="K340" i="2"/>
  <c r="K340" i="2" a="1"/>
  <c r="J340" i="2"/>
  <c r="I340" i="2"/>
  <c r="L339" i="2"/>
  <c r="K339" i="2"/>
  <c r="K339" i="2" a="1"/>
  <c r="J339" i="2"/>
  <c r="I339" i="2"/>
  <c r="L338" i="2"/>
  <c r="K338" i="2"/>
  <c r="K338" i="2" a="1"/>
  <c r="J338" i="2"/>
  <c r="I338" i="2"/>
  <c r="L337" i="2"/>
  <c r="K337" i="2"/>
  <c r="K337" i="2" a="1"/>
  <c r="J337" i="2"/>
  <c r="I337" i="2"/>
  <c r="L336" i="2"/>
  <c r="K336" i="2"/>
  <c r="K336" i="2" a="1"/>
  <c r="J336" i="2"/>
  <c r="I336" i="2"/>
  <c r="L335" i="2"/>
  <c r="K335" i="2"/>
  <c r="K335" i="2" a="1"/>
  <c r="J335" i="2"/>
  <c r="I335" i="2"/>
  <c r="L334" i="2"/>
  <c r="K334" i="2"/>
  <c r="K334" i="2" a="1"/>
  <c r="J334" i="2"/>
  <c r="I334" i="2"/>
  <c r="L333" i="2"/>
  <c r="K333" i="2"/>
  <c r="K333" i="2" a="1"/>
  <c r="J333" i="2"/>
  <c r="I333" i="2"/>
  <c r="L332" i="2"/>
  <c r="K332" i="2"/>
  <c r="K332" i="2" a="1"/>
  <c r="J332" i="2"/>
  <c r="I332" i="2"/>
  <c r="L331" i="2"/>
  <c r="K331" i="2"/>
  <c r="K331" i="2" a="1"/>
  <c r="J331" i="2"/>
  <c r="I331" i="2"/>
  <c r="L330" i="2"/>
  <c r="K330" i="2"/>
  <c r="K330" i="2" a="1"/>
  <c r="J330" i="2"/>
  <c r="I330" i="2"/>
  <c r="L329" i="2"/>
  <c r="K329" i="2"/>
  <c r="K329" i="2" a="1"/>
  <c r="J329" i="2"/>
  <c r="I329" i="2"/>
  <c r="L328" i="2"/>
  <c r="K328" i="2"/>
  <c r="K328" i="2" a="1"/>
  <c r="J328" i="2"/>
  <c r="I328" i="2"/>
  <c r="L327" i="2"/>
  <c r="K327" i="2"/>
  <c r="K327" i="2" a="1"/>
  <c r="J327" i="2"/>
  <c r="I327" i="2"/>
  <c r="L326" i="2"/>
  <c r="K326" i="2"/>
  <c r="K326" i="2" a="1"/>
  <c r="J326" i="2"/>
  <c r="I326" i="2"/>
  <c r="L325" i="2"/>
  <c r="K325" i="2"/>
  <c r="K325" i="2" a="1"/>
  <c r="J325" i="2"/>
  <c r="I325" i="2"/>
  <c r="L324" i="2"/>
  <c r="K324" i="2"/>
  <c r="K324" i="2" a="1"/>
  <c r="J324" i="2"/>
  <c r="I324" i="2"/>
  <c r="L323" i="2"/>
  <c r="K323" i="2"/>
  <c r="K323" i="2" a="1"/>
  <c r="J323" i="2"/>
  <c r="I323" i="2"/>
  <c r="L322" i="2"/>
  <c r="K322" i="2"/>
  <c r="K322" i="2" a="1"/>
  <c r="J322" i="2"/>
  <c r="I322" i="2"/>
  <c r="L321" i="2"/>
  <c r="K321" i="2"/>
  <c r="K321" i="2" a="1"/>
  <c r="J321" i="2"/>
  <c r="I321" i="2"/>
  <c r="L320" i="2"/>
  <c r="K320" i="2"/>
  <c r="K320" i="2" a="1"/>
  <c r="J320" i="2"/>
  <c r="I320" i="2"/>
  <c r="L319" i="2"/>
  <c r="K319" i="2"/>
  <c r="K319" i="2" a="1"/>
  <c r="J319" i="2"/>
  <c r="I319" i="2"/>
  <c r="L318" i="2"/>
  <c r="K318" i="2"/>
  <c r="K318" i="2" a="1"/>
  <c r="J318" i="2"/>
  <c r="I318" i="2"/>
  <c r="L317" i="2"/>
  <c r="K317" i="2"/>
  <c r="K317" i="2" a="1"/>
  <c r="J317" i="2"/>
  <c r="I317" i="2"/>
  <c r="L316" i="2"/>
  <c r="K316" i="2"/>
  <c r="K316" i="2" a="1"/>
  <c r="J316" i="2"/>
  <c r="I316" i="2"/>
  <c r="L315" i="2"/>
  <c r="K315" i="2"/>
  <c r="K315" i="2" a="1"/>
  <c r="J315" i="2"/>
  <c r="I315" i="2"/>
  <c r="L314" i="2"/>
  <c r="K314" i="2"/>
  <c r="K314" i="2" a="1"/>
  <c r="J314" i="2"/>
  <c r="I314" i="2"/>
  <c r="L313" i="2"/>
  <c r="K313" i="2"/>
  <c r="K313" i="2" a="1"/>
  <c r="J313" i="2"/>
  <c r="I313" i="2"/>
  <c r="L312" i="2"/>
  <c r="K312" i="2"/>
  <c r="K312" i="2" a="1"/>
  <c r="J312" i="2"/>
  <c r="I312" i="2"/>
  <c r="L311" i="2"/>
  <c r="K311" i="2"/>
  <c r="K311" i="2" a="1"/>
  <c r="J311" i="2"/>
  <c r="I311" i="2"/>
  <c r="L310" i="2"/>
  <c r="K310" i="2"/>
  <c r="K310" i="2" a="1"/>
  <c r="J310" i="2"/>
  <c r="I310" i="2"/>
  <c r="L309" i="2"/>
  <c r="K309" i="2"/>
  <c r="K309" i="2" a="1"/>
  <c r="J309" i="2"/>
  <c r="I309" i="2"/>
  <c r="L308" i="2"/>
  <c r="K308" i="2"/>
  <c r="K308" i="2" a="1"/>
  <c r="J308" i="2"/>
  <c r="I308" i="2"/>
  <c r="L307" i="2"/>
  <c r="K307" i="2"/>
  <c r="K307" i="2" a="1"/>
  <c r="J307" i="2"/>
  <c r="I307" i="2"/>
  <c r="L306" i="2"/>
  <c r="K306" i="2"/>
  <c r="K306" i="2" a="1"/>
  <c r="J306" i="2"/>
  <c r="I306" i="2"/>
  <c r="L305" i="2"/>
  <c r="K305" i="2"/>
  <c r="K305" i="2" a="1"/>
  <c r="J305" i="2"/>
  <c r="I305" i="2"/>
  <c r="L304" i="2"/>
  <c r="K304" i="2"/>
  <c r="K304" i="2" a="1"/>
  <c r="J304" i="2"/>
  <c r="I304" i="2"/>
  <c r="L303" i="2"/>
  <c r="K303" i="2"/>
  <c r="K303" i="2" a="1"/>
  <c r="J303" i="2"/>
  <c r="I303" i="2"/>
  <c r="L302" i="2"/>
  <c r="K302" i="2"/>
  <c r="K302" i="2" a="1"/>
  <c r="J302" i="2"/>
  <c r="I302" i="2"/>
  <c r="L301" i="2"/>
  <c r="K301" i="2"/>
  <c r="K301" i="2" a="1"/>
  <c r="J301" i="2"/>
  <c r="I301" i="2"/>
  <c r="L300" i="2"/>
  <c r="K300" i="2"/>
  <c r="K300" i="2" a="1"/>
  <c r="J300" i="2"/>
  <c r="I300" i="2"/>
  <c r="L299" i="2"/>
  <c r="K299" i="2"/>
  <c r="K299" i="2" a="1"/>
  <c r="J299" i="2"/>
  <c r="I299" i="2"/>
  <c r="L298" i="2"/>
  <c r="K298" i="2"/>
  <c r="K298" i="2" a="1"/>
  <c r="J298" i="2"/>
  <c r="I298" i="2"/>
  <c r="L297" i="2"/>
  <c r="K297" i="2"/>
  <c r="K297" i="2" a="1"/>
  <c r="J297" i="2"/>
  <c r="I297" i="2"/>
  <c r="L296" i="2"/>
  <c r="K296" i="2"/>
  <c r="K296" i="2" a="1"/>
  <c r="J296" i="2"/>
  <c r="I296" i="2"/>
  <c r="L295" i="2"/>
  <c r="K295" i="2"/>
  <c r="K295" i="2" a="1"/>
  <c r="J295" i="2"/>
  <c r="I295" i="2"/>
  <c r="L294" i="2"/>
  <c r="K294" i="2"/>
  <c r="K294" i="2" a="1"/>
  <c r="J294" i="2"/>
  <c r="I294" i="2"/>
  <c r="L293" i="2"/>
  <c r="K293" i="2"/>
  <c r="K293" i="2" a="1"/>
  <c r="J293" i="2"/>
  <c r="I293" i="2"/>
  <c r="L292" i="2"/>
  <c r="K292" i="2"/>
  <c r="K292" i="2" a="1"/>
  <c r="J292" i="2"/>
  <c r="I292" i="2"/>
  <c r="L291" i="2"/>
  <c r="K291" i="2"/>
  <c r="K291" i="2" a="1"/>
  <c r="J291" i="2"/>
  <c r="I291" i="2"/>
  <c r="L290" i="2"/>
  <c r="K290" i="2"/>
  <c r="K290" i="2" a="1"/>
  <c r="J290" i="2"/>
  <c r="I290" i="2"/>
  <c r="L289" i="2"/>
  <c r="K289" i="2"/>
  <c r="K289" i="2" a="1"/>
  <c r="J289" i="2"/>
  <c r="I289" i="2"/>
  <c r="L288" i="2"/>
  <c r="K288" i="2"/>
  <c r="K288" i="2" a="1"/>
  <c r="J288" i="2"/>
  <c r="I288" i="2"/>
  <c r="L287" i="2"/>
  <c r="K287" i="2"/>
  <c r="K287" i="2" a="1"/>
  <c r="J287" i="2"/>
  <c r="I287" i="2"/>
  <c r="L286" i="2"/>
  <c r="K286" i="2"/>
  <c r="K286" i="2" a="1"/>
  <c r="J286" i="2"/>
  <c r="I286" i="2"/>
  <c r="L285" i="2"/>
  <c r="K285" i="2"/>
  <c r="K285" i="2" a="1"/>
  <c r="J285" i="2"/>
  <c r="I285" i="2"/>
  <c r="L284" i="2"/>
  <c r="K284" i="2"/>
  <c r="K284" i="2" a="1"/>
  <c r="J284" i="2"/>
  <c r="I284" i="2"/>
  <c r="L283" i="2"/>
  <c r="K283" i="2"/>
  <c r="K283" i="2" a="1"/>
  <c r="J283" i="2"/>
  <c r="I283" i="2"/>
  <c r="L282" i="2"/>
  <c r="K282" i="2"/>
  <c r="K282" i="2" a="1"/>
  <c r="J282" i="2"/>
  <c r="I282" i="2"/>
  <c r="L281" i="2"/>
  <c r="K281" i="2"/>
  <c r="K281" i="2" a="1"/>
  <c r="J281" i="2"/>
  <c r="I281" i="2"/>
  <c r="L280" i="2"/>
  <c r="K280" i="2"/>
  <c r="K280" i="2" a="1"/>
  <c r="J280" i="2"/>
  <c r="I280" i="2"/>
  <c r="L279" i="2"/>
  <c r="K279" i="2"/>
  <c r="K279" i="2" a="1"/>
  <c r="J279" i="2"/>
  <c r="I279" i="2"/>
  <c r="L278" i="2"/>
  <c r="K278" i="2"/>
  <c r="K278" i="2" a="1"/>
  <c r="J278" i="2"/>
  <c r="I278" i="2"/>
  <c r="L277" i="2"/>
  <c r="K277" i="2"/>
  <c r="K277" i="2" a="1"/>
  <c r="J277" i="2"/>
  <c r="I277" i="2"/>
  <c r="L276" i="2"/>
  <c r="K276" i="2"/>
  <c r="K276" i="2" a="1"/>
  <c r="J276" i="2"/>
  <c r="I276" i="2"/>
  <c r="L275" i="2"/>
  <c r="K275" i="2"/>
  <c r="K275" i="2" a="1"/>
  <c r="J275" i="2"/>
  <c r="I275" i="2"/>
  <c r="L274" i="2"/>
  <c r="K274" i="2"/>
  <c r="K274" i="2" a="1"/>
  <c r="J274" i="2"/>
  <c r="I274" i="2"/>
  <c r="L273" i="2"/>
  <c r="K273" i="2"/>
  <c r="K273" i="2" a="1"/>
  <c r="J273" i="2"/>
  <c r="I273" i="2"/>
  <c r="L272" i="2"/>
  <c r="K272" i="2"/>
  <c r="K272" i="2" a="1"/>
  <c r="J272" i="2"/>
  <c r="I272" i="2"/>
  <c r="L271" i="2"/>
  <c r="K271" i="2"/>
  <c r="K271" i="2" a="1"/>
  <c r="J271" i="2"/>
  <c r="I271" i="2"/>
  <c r="L270" i="2"/>
  <c r="K270" i="2"/>
  <c r="K270" i="2" a="1"/>
  <c r="J270" i="2"/>
  <c r="I270" i="2"/>
  <c r="L269" i="2"/>
  <c r="K269" i="2"/>
  <c r="K269" i="2" a="1"/>
  <c r="J269" i="2"/>
  <c r="I269" i="2"/>
  <c r="L268" i="2"/>
  <c r="K268" i="2"/>
  <c r="K268" i="2" a="1"/>
  <c r="J268" i="2"/>
  <c r="I268" i="2"/>
  <c r="L267" i="2"/>
  <c r="K267" i="2"/>
  <c r="K267" i="2" a="1"/>
  <c r="J267" i="2"/>
  <c r="I267" i="2"/>
  <c r="L266" i="2"/>
  <c r="K266" i="2"/>
  <c r="K266" i="2" a="1"/>
  <c r="J266" i="2"/>
  <c r="I266" i="2"/>
  <c r="L265" i="2"/>
  <c r="K265" i="2"/>
  <c r="K265" i="2" a="1"/>
  <c r="J265" i="2"/>
  <c r="I265" i="2"/>
  <c r="L264" i="2"/>
  <c r="K264" i="2"/>
  <c r="K264" i="2" a="1"/>
  <c r="J264" i="2"/>
  <c r="I264" i="2"/>
  <c r="L263" i="2"/>
  <c r="K263" i="2"/>
  <c r="K263" i="2" a="1"/>
  <c r="J263" i="2"/>
  <c r="I263" i="2"/>
  <c r="L262" i="2"/>
  <c r="K262" i="2"/>
  <c r="K262" i="2" a="1"/>
  <c r="J262" i="2"/>
  <c r="I262" i="2"/>
  <c r="L261" i="2"/>
  <c r="K261" i="2"/>
  <c r="K261" i="2" a="1"/>
  <c r="J261" i="2"/>
  <c r="I261" i="2"/>
  <c r="L260" i="2"/>
  <c r="K260" i="2"/>
  <c r="K260" i="2" a="1"/>
  <c r="J260" i="2"/>
  <c r="I260" i="2"/>
  <c r="L259" i="2"/>
  <c r="K259" i="2"/>
  <c r="K259" i="2" a="1"/>
  <c r="J259" i="2"/>
  <c r="I259" i="2"/>
  <c r="L258" i="2"/>
  <c r="K258" i="2"/>
  <c r="K258" i="2" a="1"/>
  <c r="J258" i="2"/>
  <c r="I258" i="2"/>
  <c r="L257" i="2"/>
  <c r="K257" i="2"/>
  <c r="K257" i="2" a="1"/>
  <c r="J257" i="2"/>
  <c r="I257" i="2"/>
  <c r="L256" i="2"/>
  <c r="K256" i="2"/>
  <c r="K256" i="2" a="1"/>
  <c r="J256" i="2"/>
  <c r="I256" i="2"/>
  <c r="L255" i="2"/>
  <c r="K255" i="2"/>
  <c r="K255" i="2" a="1"/>
  <c r="J255" i="2"/>
  <c r="I255" i="2"/>
  <c r="L254" i="2"/>
  <c r="K254" i="2"/>
  <c r="K254" i="2" a="1"/>
  <c r="J254" i="2"/>
  <c r="I254" i="2"/>
  <c r="L253" i="2"/>
  <c r="K253" i="2"/>
  <c r="K253" i="2" a="1"/>
  <c r="J253" i="2"/>
  <c r="I253" i="2"/>
  <c r="L252" i="2"/>
  <c r="K252" i="2"/>
  <c r="K252" i="2" a="1"/>
  <c r="J252" i="2"/>
  <c r="I252" i="2"/>
  <c r="L251" i="2"/>
  <c r="K251" i="2"/>
  <c r="K251" i="2" a="1"/>
  <c r="J251" i="2"/>
  <c r="I251" i="2"/>
  <c r="L250" i="2"/>
  <c r="K250" i="2"/>
  <c r="K250" i="2" a="1"/>
  <c r="J250" i="2"/>
  <c r="I250" i="2"/>
  <c r="L249" i="2"/>
  <c r="K249" i="2"/>
  <c r="K249" i="2" a="1"/>
  <c r="J249" i="2"/>
  <c r="I249" i="2"/>
  <c r="L248" i="2"/>
  <c r="K248" i="2"/>
  <c r="K248" i="2" a="1"/>
  <c r="J248" i="2"/>
  <c r="I248" i="2"/>
  <c r="L247" i="2"/>
  <c r="K247" i="2"/>
  <c r="K247" i="2" a="1"/>
  <c r="J247" i="2"/>
  <c r="I247" i="2"/>
  <c r="L246" i="2"/>
  <c r="K246" i="2"/>
  <c r="K246" i="2" a="1"/>
  <c r="J246" i="2"/>
  <c r="I246" i="2"/>
  <c r="L245" i="2"/>
  <c r="K245" i="2"/>
  <c r="K245" i="2" a="1"/>
  <c r="J245" i="2"/>
  <c r="I245" i="2"/>
  <c r="L244" i="2"/>
  <c r="K244" i="2"/>
  <c r="K244" i="2" a="1"/>
  <c r="J244" i="2"/>
  <c r="I244" i="2"/>
  <c r="L243" i="2"/>
  <c r="K243" i="2"/>
  <c r="K243" i="2" a="1"/>
  <c r="J243" i="2"/>
  <c r="I243" i="2"/>
  <c r="L242" i="2"/>
  <c r="K242" i="2"/>
  <c r="K242" i="2" a="1"/>
  <c r="J242" i="2"/>
  <c r="I242" i="2"/>
  <c r="L241" i="2"/>
  <c r="K241" i="2"/>
  <c r="K241" i="2" a="1"/>
  <c r="J241" i="2"/>
  <c r="I241" i="2"/>
  <c r="L240" i="2"/>
  <c r="K240" i="2"/>
  <c r="K240" i="2" a="1"/>
  <c r="J240" i="2"/>
  <c r="I240" i="2"/>
  <c r="L239" i="2"/>
  <c r="K239" i="2"/>
  <c r="K239" i="2" a="1"/>
  <c r="J239" i="2"/>
  <c r="I239" i="2"/>
  <c r="L238" i="2"/>
  <c r="K238" i="2"/>
  <c r="K238" i="2" a="1"/>
  <c r="J238" i="2"/>
  <c r="I238" i="2"/>
  <c r="L237" i="2"/>
  <c r="K237" i="2"/>
  <c r="K237" i="2" a="1"/>
  <c r="J237" i="2"/>
  <c r="I237" i="2"/>
  <c r="L236" i="2"/>
  <c r="K236" i="2"/>
  <c r="K236" i="2" a="1"/>
  <c r="J236" i="2"/>
  <c r="I236" i="2"/>
  <c r="L235" i="2"/>
  <c r="K235" i="2"/>
  <c r="K235" i="2" a="1"/>
  <c r="J235" i="2"/>
  <c r="I235" i="2"/>
  <c r="L234" i="2"/>
  <c r="K234" i="2"/>
  <c r="K234" i="2" a="1"/>
  <c r="J234" i="2"/>
  <c r="I234" i="2"/>
  <c r="L233" i="2"/>
  <c r="K233" i="2"/>
  <c r="K233" i="2" a="1"/>
  <c r="J233" i="2"/>
  <c r="I233" i="2"/>
  <c r="L232" i="2"/>
  <c r="K232" i="2"/>
  <c r="K232" i="2" a="1"/>
  <c r="J232" i="2"/>
  <c r="I232" i="2"/>
  <c r="L231" i="2"/>
  <c r="K231" i="2"/>
  <c r="K231" i="2" a="1"/>
  <c r="J231" i="2"/>
  <c r="I231" i="2"/>
  <c r="L230" i="2"/>
  <c r="K230" i="2"/>
  <c r="K230" i="2" a="1"/>
  <c r="J230" i="2"/>
  <c r="I230" i="2"/>
  <c r="L229" i="2"/>
  <c r="K229" i="2"/>
  <c r="K229" i="2" a="1"/>
  <c r="J229" i="2"/>
  <c r="I229" i="2"/>
  <c r="L228" i="2"/>
  <c r="K228" i="2"/>
  <c r="K228" i="2" a="1"/>
  <c r="J228" i="2"/>
  <c r="I228" i="2"/>
  <c r="L227" i="2"/>
  <c r="K227" i="2"/>
  <c r="K227" i="2" a="1"/>
  <c r="J227" i="2"/>
  <c r="I227" i="2"/>
  <c r="L226" i="2"/>
  <c r="K226" i="2"/>
  <c r="K226" i="2" a="1"/>
  <c r="J226" i="2"/>
  <c r="I226" i="2"/>
  <c r="L225" i="2"/>
  <c r="K225" i="2"/>
  <c r="K225" i="2" a="1"/>
  <c r="J225" i="2"/>
  <c r="I225" i="2"/>
  <c r="L224" i="2"/>
  <c r="K224" i="2"/>
  <c r="K224" i="2" a="1"/>
  <c r="J224" i="2"/>
  <c r="I224" i="2"/>
  <c r="L223" i="2"/>
  <c r="K223" i="2"/>
  <c r="K223" i="2" a="1"/>
  <c r="J223" i="2"/>
  <c r="I223" i="2"/>
  <c r="L222" i="2"/>
  <c r="K222" i="2"/>
  <c r="K222" i="2" a="1"/>
  <c r="J222" i="2"/>
  <c r="I222" i="2"/>
  <c r="L221" i="2"/>
  <c r="K221" i="2"/>
  <c r="K221" i="2" a="1"/>
  <c r="J221" i="2"/>
  <c r="I221" i="2"/>
  <c r="L220" i="2"/>
  <c r="K220" i="2"/>
  <c r="K220" i="2" a="1"/>
  <c r="J220" i="2"/>
  <c r="I220" i="2"/>
  <c r="L219" i="2"/>
  <c r="K219" i="2"/>
  <c r="K219" i="2" a="1"/>
  <c r="J219" i="2"/>
  <c r="I219" i="2"/>
  <c r="L218" i="2"/>
  <c r="K218" i="2"/>
  <c r="K218" i="2" a="1"/>
  <c r="J218" i="2"/>
  <c r="I218" i="2"/>
  <c r="L217" i="2"/>
  <c r="K217" i="2"/>
  <c r="K217" i="2" a="1"/>
  <c r="J217" i="2"/>
  <c r="I217" i="2"/>
  <c r="L216" i="2"/>
  <c r="K216" i="2"/>
  <c r="K216" i="2" a="1"/>
  <c r="J216" i="2"/>
  <c r="I216" i="2"/>
  <c r="L215" i="2"/>
  <c r="K215" i="2"/>
  <c r="K215" i="2" a="1"/>
  <c r="J215" i="2"/>
  <c r="I215" i="2"/>
  <c r="L214" i="2"/>
  <c r="K214" i="2"/>
  <c r="K214" i="2" a="1"/>
  <c r="J214" i="2"/>
  <c r="I214" i="2"/>
  <c r="L213" i="2"/>
  <c r="K213" i="2"/>
  <c r="K213" i="2" a="1"/>
  <c r="J213" i="2"/>
  <c r="I213" i="2"/>
  <c r="L212" i="2"/>
  <c r="K212" i="2"/>
  <c r="K212" i="2" a="1"/>
  <c r="J212" i="2"/>
  <c r="I212" i="2"/>
  <c r="L211" i="2"/>
  <c r="K211" i="2"/>
  <c r="K211" i="2" a="1"/>
  <c r="J211" i="2"/>
  <c r="I211" i="2"/>
  <c r="L210" i="2"/>
  <c r="K210" i="2"/>
  <c r="K210" i="2" a="1"/>
  <c r="J210" i="2"/>
  <c r="I210" i="2"/>
  <c r="L209" i="2"/>
  <c r="K209" i="2"/>
  <c r="K209" i="2" a="1"/>
  <c r="J209" i="2"/>
  <c r="I209" i="2"/>
  <c r="L208" i="2"/>
  <c r="K208" i="2"/>
  <c r="K208" i="2" a="1"/>
  <c r="J208" i="2"/>
  <c r="I208" i="2"/>
  <c r="L207" i="2"/>
  <c r="K207" i="2"/>
  <c r="K207" i="2" a="1"/>
  <c r="J207" i="2"/>
  <c r="I207" i="2"/>
  <c r="L206" i="2"/>
  <c r="K206" i="2"/>
  <c r="K206" i="2" a="1"/>
  <c r="J206" i="2"/>
  <c r="I206" i="2"/>
  <c r="L205" i="2"/>
  <c r="K205" i="2"/>
  <c r="K205" i="2" a="1"/>
  <c r="J205" i="2"/>
  <c r="I205" i="2"/>
  <c r="L204" i="2"/>
  <c r="K204" i="2"/>
  <c r="K204" i="2" a="1"/>
  <c r="J204" i="2"/>
  <c r="I204" i="2"/>
  <c r="L203" i="2"/>
  <c r="K203" i="2"/>
  <c r="K203" i="2" a="1"/>
  <c r="J203" i="2"/>
  <c r="I203" i="2"/>
  <c r="L202" i="2"/>
  <c r="K202" i="2"/>
  <c r="K202" i="2" a="1"/>
  <c r="J202" i="2"/>
  <c r="I202" i="2"/>
  <c r="L201" i="2"/>
  <c r="K201" i="2"/>
  <c r="K201" i="2" a="1"/>
  <c r="J201" i="2"/>
  <c r="I201" i="2"/>
  <c r="L200" i="2"/>
  <c r="K200" i="2"/>
  <c r="K200" i="2" a="1"/>
  <c r="J200" i="2"/>
  <c r="I200" i="2"/>
  <c r="L199" i="2"/>
  <c r="K199" i="2"/>
  <c r="K199" i="2" a="1"/>
  <c r="J199" i="2"/>
  <c r="I199" i="2"/>
  <c r="L198" i="2"/>
  <c r="K198" i="2"/>
  <c r="K198" i="2" a="1"/>
  <c r="J198" i="2"/>
  <c r="I198" i="2"/>
  <c r="L197" i="2"/>
  <c r="K197" i="2"/>
  <c r="K197" i="2" a="1"/>
  <c r="J197" i="2"/>
  <c r="I197" i="2"/>
  <c r="L196" i="2"/>
  <c r="K196" i="2"/>
  <c r="K196" i="2" a="1"/>
  <c r="J196" i="2"/>
  <c r="I196" i="2"/>
  <c r="L195" i="2"/>
  <c r="K195" i="2"/>
  <c r="K195" i="2" a="1"/>
  <c r="J195" i="2"/>
  <c r="I195" i="2"/>
  <c r="L194" i="2"/>
  <c r="K194" i="2"/>
  <c r="K194" i="2" a="1"/>
  <c r="J194" i="2"/>
  <c r="I194" i="2"/>
  <c r="L193" i="2"/>
  <c r="K193" i="2"/>
  <c r="K193" i="2" a="1"/>
  <c r="J193" i="2"/>
  <c r="I193" i="2"/>
  <c r="L192" i="2"/>
  <c r="K192" i="2"/>
  <c r="K192" i="2" a="1"/>
  <c r="J192" i="2"/>
  <c r="I192" i="2"/>
  <c r="L191" i="2"/>
  <c r="K191" i="2"/>
  <c r="K191" i="2" a="1"/>
  <c r="J191" i="2"/>
  <c r="I191" i="2"/>
  <c r="L190" i="2"/>
  <c r="K190" i="2"/>
  <c r="K190" i="2" a="1"/>
  <c r="J190" i="2"/>
  <c r="I190" i="2"/>
  <c r="L189" i="2"/>
  <c r="K189" i="2"/>
  <c r="K189" i="2" a="1"/>
  <c r="J189" i="2"/>
  <c r="I189" i="2"/>
  <c r="L188" i="2"/>
  <c r="K188" i="2"/>
  <c r="K188" i="2" a="1"/>
  <c r="J188" i="2"/>
  <c r="I188" i="2"/>
  <c r="L187" i="2"/>
  <c r="K187" i="2"/>
  <c r="K187" i="2" a="1"/>
  <c r="J187" i="2"/>
  <c r="I187" i="2"/>
  <c r="L186" i="2"/>
  <c r="K186" i="2"/>
  <c r="K186" i="2" a="1"/>
  <c r="J186" i="2"/>
  <c r="I186" i="2"/>
  <c r="L185" i="2"/>
  <c r="K185" i="2"/>
  <c r="K185" i="2" a="1"/>
  <c r="J185" i="2"/>
  <c r="I185" i="2"/>
  <c r="L184" i="2"/>
  <c r="K184" i="2"/>
  <c r="K184" i="2" a="1"/>
  <c r="J184" i="2"/>
  <c r="I184" i="2"/>
  <c r="L183" i="2"/>
  <c r="K183" i="2"/>
  <c r="K183" i="2" a="1"/>
  <c r="J183" i="2"/>
  <c r="I183" i="2"/>
  <c r="L182" i="2"/>
  <c r="K182" i="2"/>
  <c r="K182" i="2" a="1"/>
  <c r="J182" i="2"/>
  <c r="I182" i="2"/>
  <c r="L181" i="2"/>
  <c r="K181" i="2"/>
  <c r="K181" i="2" a="1"/>
  <c r="J181" i="2"/>
  <c r="I181" i="2"/>
  <c r="L180" i="2"/>
  <c r="K180" i="2"/>
  <c r="K180" i="2" a="1"/>
  <c r="J180" i="2"/>
  <c r="I180" i="2"/>
  <c r="L179" i="2"/>
  <c r="K179" i="2"/>
  <c r="K179" i="2" a="1"/>
  <c r="J179" i="2"/>
  <c r="I179" i="2"/>
  <c r="L178" i="2"/>
  <c r="K178" i="2"/>
  <c r="K178" i="2" a="1"/>
  <c r="J178" i="2"/>
  <c r="I178" i="2"/>
  <c r="L177" i="2"/>
  <c r="K177" i="2"/>
  <c r="K177" i="2" a="1"/>
  <c r="J177" i="2"/>
  <c r="I177" i="2"/>
  <c r="L176" i="2"/>
  <c r="K176" i="2"/>
  <c r="K176" i="2" a="1"/>
  <c r="J176" i="2"/>
  <c r="I176" i="2"/>
  <c r="L175" i="2"/>
  <c r="K175" i="2"/>
  <c r="K175" i="2" a="1"/>
  <c r="J175" i="2"/>
  <c r="I175" i="2"/>
  <c r="L174" i="2"/>
  <c r="K174" i="2"/>
  <c r="K174" i="2" a="1"/>
  <c r="J174" i="2"/>
  <c r="I174" i="2"/>
  <c r="L173" i="2"/>
  <c r="K173" i="2"/>
  <c r="K173" i="2" a="1"/>
  <c r="J173" i="2"/>
  <c r="I173" i="2"/>
  <c r="L172" i="2"/>
  <c r="K172" i="2"/>
  <c r="K172" i="2" a="1"/>
  <c r="J172" i="2"/>
  <c r="I172" i="2"/>
  <c r="L171" i="2"/>
  <c r="K171" i="2"/>
  <c r="K171" i="2" a="1"/>
  <c r="J171" i="2"/>
  <c r="I171" i="2"/>
  <c r="L170" i="2"/>
  <c r="K170" i="2"/>
  <c r="K170" i="2" a="1"/>
  <c r="J170" i="2"/>
  <c r="I170" i="2"/>
  <c r="L169" i="2"/>
  <c r="K169" i="2"/>
  <c r="K169" i="2" a="1"/>
  <c r="J169" i="2"/>
  <c r="I169" i="2"/>
  <c r="L168" i="2"/>
  <c r="K168" i="2"/>
  <c r="K168" i="2" a="1"/>
  <c r="J168" i="2"/>
  <c r="I168" i="2"/>
  <c r="L167" i="2"/>
  <c r="K167" i="2"/>
  <c r="K167" i="2" a="1"/>
  <c r="J167" i="2"/>
  <c r="I167" i="2"/>
  <c r="L166" i="2"/>
  <c r="K166" i="2"/>
  <c r="K166" i="2" a="1"/>
  <c r="J166" i="2"/>
  <c r="I166" i="2"/>
  <c r="L165" i="2"/>
  <c r="K165" i="2"/>
  <c r="K165" i="2" a="1"/>
  <c r="J165" i="2"/>
  <c r="I165" i="2"/>
  <c r="L164" i="2"/>
  <c r="K164" i="2"/>
  <c r="K164" i="2" a="1"/>
  <c r="J164" i="2"/>
  <c r="I164" i="2"/>
  <c r="L163" i="2"/>
  <c r="K163" i="2"/>
  <c r="K163" i="2" a="1"/>
  <c r="J163" i="2"/>
  <c r="I163" i="2"/>
  <c r="L162" i="2"/>
  <c r="K162" i="2"/>
  <c r="K162" i="2" a="1"/>
  <c r="J162" i="2"/>
  <c r="I162" i="2"/>
  <c r="L161" i="2"/>
  <c r="K161" i="2"/>
  <c r="K161" i="2" a="1"/>
  <c r="J161" i="2"/>
  <c r="I161" i="2"/>
  <c r="L160" i="2"/>
  <c r="K160" i="2"/>
  <c r="K160" i="2" a="1"/>
  <c r="J160" i="2"/>
  <c r="I160" i="2"/>
  <c r="L159" i="2"/>
  <c r="K159" i="2"/>
  <c r="K159" i="2" a="1"/>
  <c r="J159" i="2"/>
  <c r="I159" i="2"/>
  <c r="L158" i="2"/>
  <c r="K158" i="2"/>
  <c r="K158" i="2" a="1"/>
  <c r="J158" i="2"/>
  <c r="I158" i="2"/>
  <c r="L157" i="2"/>
  <c r="K157" i="2"/>
  <c r="K157" i="2" a="1"/>
  <c r="J157" i="2"/>
  <c r="I157" i="2"/>
  <c r="L156" i="2"/>
  <c r="K156" i="2"/>
  <c r="K156" i="2" a="1"/>
  <c r="J156" i="2"/>
  <c r="I156" i="2"/>
  <c r="L155" i="2"/>
  <c r="K155" i="2"/>
  <c r="K155" i="2" a="1"/>
  <c r="J155" i="2"/>
  <c r="I155" i="2"/>
  <c r="L154" i="2"/>
  <c r="K154" i="2"/>
  <c r="K154" i="2" a="1"/>
  <c r="J154" i="2"/>
  <c r="I154" i="2"/>
  <c r="L153" i="2"/>
  <c r="K153" i="2"/>
  <c r="K153" i="2" a="1"/>
  <c r="J153" i="2"/>
  <c r="I153" i="2"/>
  <c r="L152" i="2"/>
  <c r="K152" i="2"/>
  <c r="K152" i="2" a="1"/>
  <c r="J152" i="2"/>
  <c r="I152" i="2"/>
  <c r="L151" i="2"/>
  <c r="K151" i="2"/>
  <c r="K151" i="2" a="1"/>
  <c r="J151" i="2"/>
  <c r="I151" i="2"/>
  <c r="L150" i="2"/>
  <c r="K150" i="2"/>
  <c r="K150" i="2" a="1"/>
  <c r="J150" i="2"/>
  <c r="I150" i="2"/>
  <c r="L149" i="2"/>
  <c r="K149" i="2"/>
  <c r="K149" i="2" a="1"/>
  <c r="J149" i="2"/>
  <c r="I149" i="2"/>
  <c r="L148" i="2"/>
  <c r="K148" i="2"/>
  <c r="K148" i="2" a="1"/>
  <c r="J148" i="2"/>
  <c r="I148" i="2"/>
  <c r="L147" i="2"/>
  <c r="K147" i="2"/>
  <c r="K147" i="2" a="1"/>
  <c r="J147" i="2"/>
  <c r="I147" i="2"/>
  <c r="L146" i="2"/>
  <c r="K146" i="2"/>
  <c r="K146" i="2" a="1"/>
  <c r="J146" i="2"/>
  <c r="I146" i="2"/>
  <c r="L145" i="2"/>
  <c r="K145" i="2"/>
  <c r="K145" i="2" a="1"/>
  <c r="J145" i="2"/>
  <c r="I145" i="2"/>
  <c r="L144" i="2"/>
  <c r="K144" i="2"/>
  <c r="K144" i="2" a="1"/>
  <c r="J144" i="2"/>
  <c r="I144" i="2"/>
  <c r="L143" i="2"/>
  <c r="K143" i="2"/>
  <c r="K143" i="2" a="1"/>
  <c r="J143" i="2"/>
  <c r="I143" i="2"/>
  <c r="L142" i="2"/>
  <c r="K142" i="2"/>
  <c r="K142" i="2" a="1"/>
  <c r="J142" i="2"/>
  <c r="I142" i="2"/>
  <c r="L141" i="2"/>
  <c r="K141" i="2"/>
  <c r="K141" i="2" a="1"/>
  <c r="J141" i="2"/>
  <c r="I141" i="2"/>
  <c r="L140" i="2"/>
  <c r="K140" i="2"/>
  <c r="K140" i="2" a="1"/>
  <c r="J140" i="2"/>
  <c r="I140" i="2"/>
  <c r="L139" i="2"/>
  <c r="K139" i="2"/>
  <c r="K139" i="2" a="1"/>
  <c r="J139" i="2"/>
  <c r="I139" i="2"/>
  <c r="L138" i="2"/>
  <c r="K138" i="2"/>
  <c r="K138" i="2" a="1"/>
  <c r="J138" i="2"/>
  <c r="I138" i="2"/>
  <c r="L137" i="2"/>
  <c r="K137" i="2"/>
  <c r="K137" i="2" a="1"/>
  <c r="J137" i="2"/>
  <c r="I137" i="2"/>
  <c r="L136" i="2"/>
  <c r="K136" i="2"/>
  <c r="K136" i="2" a="1"/>
  <c r="J136" i="2"/>
  <c r="I136" i="2"/>
  <c r="L135" i="2"/>
  <c r="K135" i="2"/>
  <c r="K135" i="2" a="1"/>
  <c r="J135" i="2"/>
  <c r="I135" i="2"/>
  <c r="L134" i="2"/>
  <c r="K134" i="2"/>
  <c r="K134" i="2" a="1"/>
  <c r="J134" i="2"/>
  <c r="I134" i="2"/>
  <c r="L133" i="2"/>
  <c r="K133" i="2"/>
  <c r="K133" i="2" a="1"/>
  <c r="J133" i="2"/>
  <c r="I133" i="2"/>
  <c r="L132" i="2"/>
  <c r="K132" i="2"/>
  <c r="K132" i="2" a="1"/>
  <c r="J132" i="2"/>
  <c r="I132" i="2"/>
  <c r="L131" i="2"/>
  <c r="K131" i="2"/>
  <c r="K131" i="2" a="1"/>
  <c r="J131" i="2"/>
  <c r="I131" i="2"/>
  <c r="L130" i="2"/>
  <c r="K130" i="2"/>
  <c r="K130" i="2" a="1"/>
  <c r="J130" i="2"/>
  <c r="I130" i="2"/>
  <c r="L129" i="2"/>
  <c r="K129" i="2"/>
  <c r="K129" i="2" a="1"/>
  <c r="J129" i="2"/>
  <c r="I129" i="2"/>
  <c r="L128" i="2"/>
  <c r="K128" i="2"/>
  <c r="K128" i="2" a="1"/>
  <c r="J128" i="2"/>
  <c r="I128" i="2"/>
  <c r="L127" i="2"/>
  <c r="K127" i="2"/>
  <c r="K127" i="2" a="1"/>
  <c r="J127" i="2"/>
  <c r="I127" i="2"/>
  <c r="L126" i="2"/>
  <c r="K126" i="2"/>
  <c r="K126" i="2" a="1"/>
  <c r="J126" i="2"/>
  <c r="I126" i="2"/>
  <c r="L125" i="2"/>
  <c r="K125" i="2"/>
  <c r="K125" i="2" a="1"/>
  <c r="J125" i="2"/>
  <c r="I125" i="2"/>
  <c r="L124" i="2"/>
  <c r="K124" i="2"/>
  <c r="K124" i="2" a="1"/>
  <c r="J124" i="2"/>
  <c r="I124" i="2"/>
  <c r="L123" i="2"/>
  <c r="K123" i="2"/>
  <c r="K123" i="2" a="1"/>
  <c r="J123" i="2"/>
  <c r="I123" i="2"/>
  <c r="L122" i="2"/>
  <c r="K122" i="2"/>
  <c r="K122" i="2" a="1"/>
  <c r="J122" i="2"/>
  <c r="I122" i="2"/>
  <c r="L121" i="2"/>
  <c r="K121" i="2"/>
  <c r="K121" i="2" a="1"/>
  <c r="J121" i="2"/>
  <c r="I121" i="2"/>
  <c r="L120" i="2"/>
  <c r="K120" i="2"/>
  <c r="K120" i="2" a="1"/>
  <c r="J120" i="2"/>
  <c r="I120" i="2"/>
  <c r="L119" i="2"/>
  <c r="K119" i="2"/>
  <c r="K119" i="2" a="1"/>
  <c r="J119" i="2"/>
  <c r="I119" i="2"/>
  <c r="L118" i="2"/>
  <c r="K118" i="2"/>
  <c r="K118" i="2" a="1"/>
  <c r="J118" i="2"/>
  <c r="I118" i="2"/>
  <c r="L117" i="2"/>
  <c r="K117" i="2"/>
  <c r="K117" i="2" a="1"/>
  <c r="J117" i="2"/>
  <c r="I117" i="2"/>
  <c r="L116" i="2"/>
  <c r="K116" i="2"/>
  <c r="K116" i="2" a="1"/>
  <c r="J116" i="2"/>
  <c r="I116" i="2"/>
  <c r="L115" i="2"/>
  <c r="K115" i="2"/>
  <c r="K115" i="2" a="1"/>
  <c r="J115" i="2"/>
  <c r="I115" i="2"/>
  <c r="L114" i="2"/>
  <c r="K114" i="2"/>
  <c r="K114" i="2" a="1"/>
  <c r="J114" i="2"/>
  <c r="I114" i="2"/>
  <c r="L113" i="2"/>
  <c r="K113" i="2"/>
  <c r="K113" i="2" a="1"/>
  <c r="J113" i="2"/>
  <c r="I113" i="2"/>
  <c r="L112" i="2"/>
  <c r="K112" i="2"/>
  <c r="K112" i="2" a="1"/>
  <c r="J112" i="2"/>
  <c r="I112" i="2"/>
  <c r="L111" i="2"/>
  <c r="K111" i="2"/>
  <c r="K111" i="2" a="1"/>
  <c r="J111" i="2"/>
  <c r="I111" i="2"/>
  <c r="L110" i="2"/>
  <c r="K110" i="2"/>
  <c r="K110" i="2" a="1"/>
  <c r="J110" i="2"/>
  <c r="I110" i="2"/>
  <c r="L109" i="2"/>
  <c r="K109" i="2"/>
  <c r="K109" i="2" a="1"/>
  <c r="J109" i="2"/>
  <c r="I109" i="2"/>
  <c r="L108" i="2"/>
  <c r="K108" i="2"/>
  <c r="K108" i="2" a="1"/>
  <c r="J108" i="2"/>
  <c r="I108" i="2"/>
  <c r="L107" i="2"/>
  <c r="K107" i="2"/>
  <c r="K107" i="2" a="1"/>
  <c r="J107" i="2"/>
  <c r="I107" i="2"/>
  <c r="L106" i="2"/>
  <c r="K106" i="2"/>
  <c r="K106" i="2" a="1"/>
  <c r="J106" i="2"/>
  <c r="I106" i="2"/>
  <c r="L105" i="2"/>
  <c r="K105" i="2"/>
  <c r="K105" i="2" a="1"/>
  <c r="J105" i="2"/>
  <c r="I105" i="2"/>
  <c r="L104" i="2"/>
  <c r="K104" i="2"/>
  <c r="K104" i="2" a="1"/>
  <c r="J104" i="2"/>
  <c r="I104" i="2"/>
  <c r="L103" i="2"/>
  <c r="K103" i="2"/>
  <c r="K103" i="2" a="1"/>
  <c r="J103" i="2"/>
  <c r="I103" i="2"/>
  <c r="L102" i="2"/>
  <c r="K102" i="2"/>
  <c r="K102" i="2" a="1"/>
  <c r="J102" i="2"/>
  <c r="I102" i="2"/>
  <c r="L101" i="2"/>
  <c r="K101" i="2"/>
  <c r="K101" i="2" a="1"/>
  <c r="J101" i="2"/>
  <c r="I101" i="2"/>
  <c r="L100" i="2"/>
  <c r="K100" i="2"/>
  <c r="K100" i="2" a="1"/>
  <c r="J100" i="2"/>
  <c r="I100" i="2"/>
  <c r="L99" i="2"/>
  <c r="K99" i="2"/>
  <c r="K99" i="2" a="1"/>
  <c r="J99" i="2"/>
  <c r="I99" i="2"/>
  <c r="L98" i="2"/>
  <c r="K98" i="2"/>
  <c r="K98" i="2" a="1"/>
  <c r="J98" i="2"/>
  <c r="I98" i="2"/>
  <c r="L97" i="2"/>
  <c r="K97" i="2"/>
  <c r="K97" i="2" a="1"/>
  <c r="J97" i="2"/>
  <c r="I97" i="2"/>
  <c r="L96" i="2"/>
  <c r="K96" i="2"/>
  <c r="K96" i="2" a="1"/>
  <c r="J96" i="2"/>
  <c r="I96" i="2"/>
  <c r="L95" i="2"/>
  <c r="K95" i="2"/>
  <c r="K95" i="2" a="1"/>
  <c r="J95" i="2"/>
  <c r="I95" i="2"/>
  <c r="L94" i="2"/>
  <c r="K94" i="2"/>
  <c r="K94" i="2" a="1"/>
  <c r="J94" i="2"/>
  <c r="I94" i="2"/>
  <c r="L93" i="2"/>
  <c r="K93" i="2"/>
  <c r="K93" i="2" a="1"/>
  <c r="J93" i="2"/>
  <c r="I93" i="2"/>
  <c r="L92" i="2"/>
  <c r="K92" i="2"/>
  <c r="K92" i="2" a="1"/>
  <c r="J92" i="2"/>
  <c r="I92" i="2"/>
  <c r="L91" i="2"/>
  <c r="K91" i="2"/>
  <c r="K91" i="2" a="1"/>
  <c r="J91" i="2"/>
  <c r="I91" i="2"/>
  <c r="L90" i="2"/>
  <c r="K90" i="2"/>
  <c r="K90" i="2" a="1"/>
  <c r="J90" i="2"/>
  <c r="I90" i="2"/>
  <c r="L89" i="2"/>
  <c r="K89" i="2"/>
  <c r="K89" i="2" a="1"/>
  <c r="J89" i="2"/>
  <c r="I89" i="2"/>
  <c r="L88" i="2"/>
  <c r="K88" i="2"/>
  <c r="K88" i="2" a="1"/>
  <c r="J88" i="2"/>
  <c r="I88" i="2"/>
  <c r="L87" i="2"/>
  <c r="K87" i="2"/>
  <c r="K87" i="2" a="1"/>
  <c r="J87" i="2"/>
  <c r="I87" i="2"/>
  <c r="L86" i="2"/>
  <c r="K86" i="2"/>
  <c r="K86" i="2" a="1"/>
  <c r="J86" i="2"/>
  <c r="I86" i="2"/>
  <c r="L85" i="2"/>
  <c r="K85" i="2"/>
  <c r="K85" i="2" a="1"/>
  <c r="J85" i="2"/>
  <c r="I85" i="2"/>
  <c r="L84" i="2"/>
  <c r="K84" i="2"/>
  <c r="K84" i="2" a="1"/>
  <c r="J84" i="2"/>
  <c r="I84" i="2"/>
  <c r="L83" i="2"/>
  <c r="K83" i="2"/>
  <c r="K83" i="2" a="1"/>
  <c r="J83" i="2"/>
  <c r="I83" i="2"/>
  <c r="L82" i="2"/>
  <c r="K82" i="2"/>
  <c r="K82" i="2" a="1"/>
  <c r="J82" i="2"/>
  <c r="I82" i="2"/>
  <c r="L81" i="2"/>
  <c r="K81" i="2"/>
  <c r="K81" i="2" a="1"/>
  <c r="J81" i="2"/>
  <c r="I81" i="2"/>
  <c r="L80" i="2"/>
  <c r="K80" i="2"/>
  <c r="K80" i="2" a="1"/>
  <c r="J80" i="2"/>
  <c r="I80" i="2"/>
  <c r="L79" i="2"/>
  <c r="K79" i="2"/>
  <c r="K79" i="2" a="1"/>
  <c r="J79" i="2"/>
  <c r="I79" i="2"/>
  <c r="L78" i="2"/>
  <c r="K78" i="2"/>
  <c r="K78" i="2" a="1"/>
  <c r="J78" i="2"/>
  <c r="I78" i="2"/>
  <c r="L77" i="2"/>
  <c r="K77" i="2"/>
  <c r="K77" i="2" a="1"/>
  <c r="J77" i="2"/>
  <c r="I77" i="2"/>
  <c r="L76" i="2"/>
  <c r="K76" i="2"/>
  <c r="K76" i="2" a="1"/>
  <c r="J76" i="2"/>
  <c r="I76" i="2"/>
  <c r="L75" i="2"/>
  <c r="K75" i="2"/>
  <c r="K75" i="2" a="1"/>
  <c r="J75" i="2"/>
  <c r="I75" i="2"/>
  <c r="L74" i="2"/>
  <c r="K74" i="2"/>
  <c r="K74" i="2" a="1"/>
  <c r="J74" i="2"/>
  <c r="I74" i="2"/>
  <c r="L73" i="2"/>
  <c r="K73" i="2"/>
  <c r="K73" i="2" a="1"/>
  <c r="J73" i="2"/>
  <c r="I73" i="2"/>
  <c r="L72" i="2"/>
  <c r="K72" i="2"/>
  <c r="K72" i="2" a="1"/>
  <c r="J72" i="2"/>
  <c r="I72" i="2"/>
  <c r="L71" i="2"/>
  <c r="K71" i="2"/>
  <c r="K71" i="2" a="1"/>
  <c r="J71" i="2"/>
  <c r="I71" i="2"/>
  <c r="L70" i="2"/>
  <c r="K70" i="2"/>
  <c r="K70" i="2" a="1"/>
  <c r="J70" i="2"/>
  <c r="I70" i="2"/>
  <c r="L69" i="2"/>
  <c r="K69" i="2"/>
  <c r="K69" i="2" a="1"/>
  <c r="J69" i="2"/>
  <c r="I69" i="2"/>
  <c r="L68" i="2"/>
  <c r="K68" i="2"/>
  <c r="K68" i="2" a="1"/>
  <c r="J68" i="2"/>
  <c r="I68" i="2"/>
  <c r="L67" i="2"/>
  <c r="K67" i="2"/>
  <c r="K67" i="2" a="1"/>
  <c r="J67" i="2"/>
  <c r="I67" i="2"/>
  <c r="L66" i="2"/>
  <c r="K66" i="2"/>
  <c r="K66" i="2" a="1"/>
  <c r="J66" i="2"/>
  <c r="I66" i="2"/>
  <c r="L65" i="2"/>
  <c r="K65" i="2"/>
  <c r="K65" i="2" a="1"/>
  <c r="J65" i="2"/>
  <c r="I65" i="2"/>
  <c r="L64" i="2"/>
  <c r="K64" i="2"/>
  <c r="K64" i="2" a="1"/>
  <c r="J64" i="2"/>
  <c r="I64" i="2"/>
  <c r="L63" i="2"/>
  <c r="K63" i="2"/>
  <c r="K63" i="2" a="1"/>
  <c r="J63" i="2"/>
  <c r="I63" i="2"/>
  <c r="L62" i="2"/>
  <c r="K62" i="2"/>
  <c r="K62" i="2" a="1"/>
  <c r="J62" i="2"/>
  <c r="I62" i="2"/>
  <c r="L61" i="2"/>
  <c r="K61" i="2"/>
  <c r="K61" i="2" a="1"/>
  <c r="J61" i="2"/>
  <c r="I61" i="2"/>
  <c r="L60" i="2"/>
  <c r="K60" i="2"/>
  <c r="K60" i="2" a="1"/>
  <c r="J60" i="2"/>
  <c r="I60" i="2"/>
  <c r="L59" i="2"/>
  <c r="K59" i="2"/>
  <c r="K59" i="2" a="1"/>
  <c r="J59" i="2"/>
  <c r="I59" i="2"/>
  <c r="L58" i="2"/>
  <c r="K58" i="2"/>
  <c r="K58" i="2" a="1"/>
  <c r="J58" i="2"/>
  <c r="I58" i="2"/>
  <c r="L57" i="2"/>
  <c r="K57" i="2"/>
  <c r="K57" i="2" a="1"/>
  <c r="J57" i="2"/>
  <c r="I57" i="2"/>
  <c r="L56" i="2"/>
  <c r="K56" i="2"/>
  <c r="K56" i="2" a="1"/>
  <c r="J56" i="2"/>
  <c r="I56" i="2"/>
  <c r="L55" i="2"/>
  <c r="K55" i="2"/>
  <c r="K55" i="2" a="1"/>
  <c r="J55" i="2"/>
  <c r="I55" i="2"/>
  <c r="L54" i="2"/>
  <c r="K54" i="2"/>
  <c r="K54" i="2" a="1"/>
  <c r="J54" i="2"/>
  <c r="I54" i="2"/>
  <c r="L53" i="2"/>
  <c r="K53" i="2"/>
  <c r="K53" i="2" a="1"/>
  <c r="J53" i="2"/>
  <c r="I53" i="2"/>
  <c r="L52" i="2"/>
  <c r="K52" i="2"/>
  <c r="K52" i="2" a="1"/>
  <c r="J52" i="2"/>
  <c r="I52" i="2"/>
  <c r="L51" i="2"/>
  <c r="K51" i="2"/>
  <c r="K51" i="2" a="1"/>
  <c r="J51" i="2"/>
  <c r="I51" i="2"/>
  <c r="L50" i="2"/>
  <c r="K50" i="2"/>
  <c r="K50" i="2" a="1"/>
  <c r="J50" i="2"/>
  <c r="I50" i="2"/>
  <c r="L49" i="2"/>
  <c r="K49" i="2"/>
  <c r="K49" i="2" a="1"/>
  <c r="J49" i="2"/>
  <c r="I49" i="2"/>
  <c r="L48" i="2"/>
  <c r="K48" i="2"/>
  <c r="K48" i="2" a="1"/>
  <c r="J48" i="2"/>
  <c r="I48" i="2"/>
  <c r="L47" i="2"/>
  <c r="K47" i="2"/>
  <c r="K47" i="2" a="1"/>
  <c r="J47" i="2"/>
  <c r="I47" i="2"/>
  <c r="L46" i="2"/>
  <c r="K46" i="2"/>
  <c r="K46" i="2" a="1"/>
  <c r="J46" i="2"/>
  <c r="I46" i="2"/>
  <c r="L45" i="2"/>
  <c r="K45" i="2"/>
  <c r="K45" i="2" a="1"/>
  <c r="J45" i="2"/>
  <c r="I45" i="2"/>
  <c r="L44" i="2"/>
  <c r="K44" i="2"/>
  <c r="K44" i="2" a="1"/>
  <c r="J44" i="2"/>
  <c r="I44" i="2"/>
  <c r="L43" i="2"/>
  <c r="K43" i="2"/>
  <c r="K43" i="2" a="1"/>
  <c r="J43" i="2"/>
  <c r="I43" i="2"/>
  <c r="L42" i="2"/>
  <c r="K42" i="2"/>
  <c r="K42" i="2" a="1"/>
  <c r="J42" i="2"/>
  <c r="I42" i="2"/>
  <c r="L41" i="2"/>
  <c r="K41" i="2"/>
  <c r="K41" i="2" a="1"/>
  <c r="J41" i="2"/>
  <c r="I41" i="2"/>
  <c r="L40" i="2"/>
  <c r="K40" i="2"/>
  <c r="K40" i="2" a="1"/>
  <c r="J40" i="2"/>
  <c r="I40" i="2"/>
  <c r="L39" i="2"/>
  <c r="K39" i="2"/>
  <c r="K39" i="2" a="1"/>
  <c r="J39" i="2"/>
  <c r="I39" i="2"/>
  <c r="L38" i="2"/>
  <c r="K38" i="2"/>
  <c r="K38" i="2" a="1"/>
  <c r="J38" i="2"/>
  <c r="I38" i="2"/>
  <c r="L37" i="2"/>
  <c r="K37" i="2"/>
  <c r="K37" i="2" a="1"/>
  <c r="J37" i="2"/>
  <c r="I37" i="2"/>
  <c r="L36" i="2"/>
  <c r="K36" i="2"/>
  <c r="K36" i="2" a="1"/>
  <c r="J36" i="2"/>
  <c r="I36" i="2"/>
  <c r="L35" i="2"/>
  <c r="K35" i="2"/>
  <c r="K35" i="2" a="1"/>
  <c r="J35" i="2"/>
  <c r="I35" i="2"/>
  <c r="L34" i="2"/>
  <c r="K34" i="2"/>
  <c r="K34" i="2" a="1"/>
  <c r="J34" i="2"/>
  <c r="I34" i="2"/>
  <c r="L33" i="2"/>
  <c r="K33" i="2"/>
  <c r="K33" i="2" a="1"/>
  <c r="J33" i="2"/>
  <c r="I33" i="2"/>
  <c r="L32" i="2"/>
  <c r="K32" i="2"/>
  <c r="K32" i="2" a="1"/>
  <c r="J32" i="2"/>
  <c r="I32" i="2"/>
  <c r="L31" i="2"/>
  <c r="K31" i="2"/>
  <c r="K31" i="2" a="1"/>
  <c r="J31" i="2"/>
  <c r="I31" i="2"/>
  <c r="L30" i="2"/>
  <c r="K30" i="2"/>
  <c r="K30" i="2" a="1"/>
  <c r="J30" i="2"/>
  <c r="I30" i="2"/>
  <c r="L29" i="2"/>
  <c r="K29" i="2"/>
  <c r="K29" i="2" a="1"/>
  <c r="J29" i="2"/>
  <c r="I29" i="2"/>
  <c r="L28" i="2"/>
  <c r="K28" i="2"/>
  <c r="K28" i="2" a="1"/>
  <c r="J28" i="2"/>
  <c r="I28" i="2"/>
  <c r="L27" i="2"/>
  <c r="K27" i="2"/>
  <c r="K27" i="2" a="1"/>
  <c r="J27" i="2"/>
  <c r="I27" i="2"/>
  <c r="L26" i="2"/>
  <c r="K26" i="2"/>
  <c r="K26" i="2" a="1"/>
  <c r="J26" i="2"/>
  <c r="I26" i="2"/>
  <c r="L25" i="2"/>
  <c r="K25" i="2"/>
  <c r="K25" i="2" a="1"/>
  <c r="J25" i="2"/>
  <c r="I25" i="2"/>
  <c r="L24" i="2"/>
  <c r="K24" i="2"/>
  <c r="K24" i="2" a="1"/>
  <c r="J24" i="2"/>
  <c r="I24" i="2"/>
  <c r="L23" i="2"/>
  <c r="K23" i="2"/>
  <c r="K23" i="2" a="1"/>
  <c r="J23" i="2"/>
  <c r="I23" i="2"/>
  <c r="L22" i="2"/>
  <c r="K22" i="2"/>
  <c r="K22" i="2" a="1"/>
  <c r="J22" i="2"/>
  <c r="I22" i="2"/>
  <c r="L21" i="2"/>
  <c r="K21" i="2"/>
  <c r="K21" i="2" a="1"/>
  <c r="J21" i="2"/>
  <c r="I21" i="2"/>
  <c r="L20" i="2"/>
  <c r="K20" i="2"/>
  <c r="K20" i="2" a="1"/>
  <c r="J20" i="2"/>
  <c r="I20" i="2"/>
  <c r="L19" i="2"/>
  <c r="K19" i="2"/>
  <c r="K19" i="2" a="1"/>
  <c r="J19" i="2"/>
  <c r="I19" i="2"/>
  <c r="L18" i="2"/>
  <c r="K18" i="2"/>
  <c r="K18" i="2" a="1"/>
  <c r="J18" i="2"/>
  <c r="I18" i="2"/>
  <c r="L17" i="2"/>
  <c r="K17" i="2"/>
  <c r="K17" i="2" a="1"/>
  <c r="J17" i="2"/>
  <c r="I17" i="2"/>
  <c r="L16" i="2"/>
  <c r="K16" i="2"/>
  <c r="K16" i="2" a="1"/>
  <c r="J16" i="2"/>
  <c r="I16" i="2"/>
  <c r="L15" i="2"/>
  <c r="K15" i="2"/>
  <c r="K15" i="2" a="1"/>
  <c r="J15" i="2"/>
  <c r="I15" i="2"/>
  <c r="L14" i="2"/>
  <c r="K14" i="2"/>
  <c r="K14" i="2" a="1"/>
  <c r="J14" i="2"/>
  <c r="I14" i="2"/>
  <c r="L13" i="2"/>
  <c r="K13" i="2"/>
  <c r="K13" i="2" a="1"/>
  <c r="J13" i="2"/>
  <c r="I13" i="2"/>
  <c r="L12" i="2"/>
  <c r="K12" i="2"/>
  <c r="K12" i="2" a="1"/>
  <c r="J12" i="2"/>
  <c r="I12" i="2"/>
  <c r="L11" i="2"/>
  <c r="K11" i="2"/>
  <c r="K11" i="2" a="1"/>
  <c r="J11" i="2"/>
  <c r="I11" i="2"/>
  <c r="L10" i="2"/>
  <c r="K10" i="2"/>
  <c r="K10" i="2" a="1"/>
  <c r="J10" i="2"/>
  <c r="I10" i="2"/>
  <c r="L9" i="2"/>
  <c r="K9" i="2"/>
  <c r="K9" i="2" a="1"/>
  <c r="J9" i="2"/>
  <c r="I9" i="2"/>
  <c r="L8" i="2"/>
  <c r="K8" i="2"/>
  <c r="K8" i="2" a="1"/>
  <c r="J8" i="2"/>
  <c r="I8" i="2"/>
  <c r="L7" i="2"/>
  <c r="K7" i="2"/>
  <c r="K7" i="2" a="1"/>
  <c r="J7" i="2"/>
  <c r="I7" i="2"/>
  <c r="L6" i="2"/>
  <c r="K6" i="2"/>
  <c r="K6" i="2" a="1"/>
  <c r="J6" i="2"/>
  <c r="I6" i="2"/>
  <c r="L5" i="2"/>
  <c r="K5" i="2"/>
  <c r="K5" i="2" a="1"/>
  <c r="J5" i="2"/>
  <c r="I5" i="2"/>
  <c r="L4" i="2"/>
  <c r="K4" i="2"/>
  <c r="K4" i="2" a="1"/>
  <c r="J4" i="2"/>
  <c r="I4" i="2"/>
  <c r="N42" i="6"/>
  <c r="I43" i="6" l="1"/>
  <c r="N43" i="6"/>
  <c r="N46" i="6" s="1"/>
  <c r="N52" i="6" s="1"/>
  <c r="M30" i="5" s="1"/>
  <c r="N51" i="6"/>
  <c r="M29" i="5" s="1"/>
  <c r="J44" i="6"/>
  <c r="J45" i="6"/>
  <c r="J47" i="6"/>
  <c r="J43" i="6"/>
  <c r="J46" i="6"/>
  <c r="I44" i="6"/>
  <c r="I45" i="6"/>
  <c r="I46" i="6"/>
  <c r="I4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88FF6E-1B3F-4FC7-912F-D85352566B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12CBEBE-5C2B-4B6C-91DA-471425B92563}"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3" xr16:uid="{A74C5ADC-9BBD-46D5-8523-31A45C56D05B}"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<sst xmlns="http://schemas.openxmlformats.org/spreadsheetml/2006/main" count="3177" uniqueCount="1087">
  <si>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</si>
  <si>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</si>
  <si>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</si>
  <si>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</si>
  <si>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</si>
  <si>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</si>
  <si>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</si>
  <si>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</si>
  <si>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</si>
  <si>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</si>
  <si>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</si>
  <si>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</si>
  <si>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</si>
  <si>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</si>
  <si>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</si>
  <si>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</si>
  <si>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</si>
  <si>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</si>
  <si>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</si>
  <si>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</si>
  <si>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</si>
  <si>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</si>
  <si>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</si>
  <si>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</si>
  <si>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</si>
  <si>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</si>
  <si>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</si>
  <si>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</si>
  <si>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</si>
  <si>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</si>
  <si>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</si>
  <si>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</si>
  <si>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</si>
  <si>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</si>
  <si>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</si>
  <si>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</si>
  <si>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</si>
  <si>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</si>
  <si>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</si>
  <si>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</si>
  <si>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</si>
  <si>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</si>
  <si>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</si>
  <si>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</si>
  <si>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</si>
  <si>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</si>
  <si>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</si>
  <si>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</si>
  <si>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</si>
  <si>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</si>
  <si>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</si>
  <si>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</si>
  <si>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</si>
  <si>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</si>
  <si>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</si>
  <si>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</si>
  <si>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</si>
  <si>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</si>
  <si>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</si>
  <si>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</si>
  <si>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</si>
  <si>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</si>
  <si>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</si>
  <si>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</si>
  <si>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</si>
  <si>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</si>
  <si>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</si>
  <si>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</si>
  <si>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</si>
  <si>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</si>
  <si>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</si>
  <si>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</si>
  <si>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</si>
  <si>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</si>
  <si>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</si>
  <si>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</si>
  <si>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</si>
  <si>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</si>
  <si>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</si>
  <si>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</si>
  <si>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</si>
  <si>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</si>
  <si>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</si>
  <si>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</si>
  <si>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</si>
  <si>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</si>
  <si>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</si>
  <si>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</si>
  <si>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</si>
  <si>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</si>
  <si>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</si>
  <si>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</si>
  <si>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</si>
  <si>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</si>
  <si>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</si>
  <si>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</si>
  <si>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</si>
  <si>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</si>
  <si>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</si>
  <si>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</si>
  <si>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</si>
  <si>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</si>
  <si>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</si>
  <si>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</si>
  <si>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</si>
  <si>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</si>
  <si>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</si>
  <si>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</si>
  <si>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</si>
  <si>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</si>
  <si>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</si>
  <si>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</si>
  <si>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</si>
  <si>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</si>
  <si>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</si>
  <si>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</si>
  <si>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</si>
  <si>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</si>
  <si>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</si>
  <si>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</si>
  <si>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</si>
  <si>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</si>
  <si>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</si>
  <si>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</si>
  <si>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</si>
  <si>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</si>
  <si>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</si>
  <si>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</si>
  <si>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</si>
  <si>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</si>
  <si>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</si>
  <si>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</si>
  <si>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</si>
  <si>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</si>
  <si>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</si>
  <si>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</si>
  <si>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</si>
  <si>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</si>
  <si>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</si>
  <si>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</si>
  <si>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</si>
  <si>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</si>
  <si>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</si>
  <si>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</si>
  <si>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</si>
  <si>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</si>
  <si>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</si>
  <si>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</si>
  <si>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</si>
  <si>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</si>
  <si>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</si>
  <si>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</si>
  <si>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</si>
  <si>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</si>
  <si>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</si>
  <si>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</si>
  <si>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</si>
  <si>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</si>
  <si>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</si>
  <si>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</si>
  <si>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</si>
  <si>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</si>
  <si>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</si>
  <si>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</si>
  <si>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</si>
  <si>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</si>
  <si>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</si>
  <si>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</si>
  <si>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</si>
  <si>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</si>
  <si>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</si>
  <si>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</si>
  <si>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</si>
  <si>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</si>
  <si>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</si>
  <si>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</si>
  <si>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</si>
  <si>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</si>
  <si>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</si>
  <si>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</si>
  <si>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</si>
  <si>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</si>
  <si>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</si>
  <si>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</si>
  <si>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</si>
  <si>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</si>
  <si>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</si>
  <si>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</si>
  <si>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</si>
  <si>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</si>
  <si>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</si>
  <si>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</si>
  <si>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</si>
  <si>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</si>
  <si>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</si>
  <si>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</si>
  <si>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</si>
  <si>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</si>
  <si>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</si>
  <si>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</si>
  <si>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</si>
  <si>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</si>
  <si>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</si>
  <si>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</si>
  <si>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</si>
  <si>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</si>
  <si>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</si>
  <si>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</si>
  <si>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</si>
  <si>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</si>
  <si>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</si>
  <si>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</si>
  <si>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</si>
  <si>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</si>
  <si>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</si>
  <si>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</si>
  <si>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</si>
  <si>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</si>
  <si>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</si>
  <si>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</si>
  <si>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</si>
  <si>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</si>
  <si>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</si>
  <si>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</si>
  <si>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</si>
  <si>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</si>
  <si>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</si>
  <si>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</si>
  <si>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</si>
  <si>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</si>
  <si>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</si>
  <si>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</si>
  <si>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</si>
  <si>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</si>
  <si>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</si>
  <si>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</si>
  <si>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</si>
  <si>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</si>
  <si>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</si>
  <si>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</si>
  <si>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</si>
  <si>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</si>
  <si>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</si>
  <si>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</si>
  <si>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</si>
  <si>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</si>
  <si>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</si>
  <si>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</si>
  <si>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</si>
  <si>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</si>
  <si>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</si>
  <si>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</si>
  <si>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</si>
  <si>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</si>
  <si>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</si>
  <si>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</si>
  <si>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</si>
  <si>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</si>
  <si>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</si>
  <si>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</si>
  <si>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</si>
  <si>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</si>
  <si>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</si>
  <si>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</si>
  <si>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</si>
  <si>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</si>
  <si>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</si>
  <si>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</si>
  <si>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</si>
  <si>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</si>
  <si>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</si>
  <si>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</si>
  <si>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</si>
  <si>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</si>
  <si>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</si>
  <si>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</si>
  <si>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</si>
  <si>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</si>
  <si>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</si>
  <si>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</si>
  <si>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</si>
  <si>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</si>
  <si>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</si>
  <si>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</si>
  <si>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</si>
  <si>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</si>
  <si>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</si>
  <si>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</si>
  <si>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</si>
  <si>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</si>
  <si>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</si>
  <si>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</si>
  <si>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</si>
  <si>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</si>
  <si>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</si>
  <si>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</si>
  <si>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</si>
  <si>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</si>
  <si>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</si>
  <si>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</si>
  <si>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</si>
  <si>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</si>
  <si>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</si>
  <si>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</si>
  <si>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</si>
  <si>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</si>
  <si>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</si>
  <si>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</si>
  <si>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</si>
  <si>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</si>
  <si>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</si>
  <si>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</si>
  <si>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</si>
  <si>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</si>
  <si>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</si>
  <si>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</si>
  <si>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</si>
  <si>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</si>
  <si>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</si>
  <si>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</si>
  <si>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</si>
  <si>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</si>
  <si>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</si>
  <si>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</si>
  <si>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</si>
  <si>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</si>
  <si>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</si>
  <si>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</si>
  <si>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</si>
  <si>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</si>
  <si>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</si>
  <si>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</si>
  <si>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</si>
  <si>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</si>
  <si>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</si>
  <si>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</si>
  <si>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</si>
  <si>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</si>
  <si>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</si>
  <si>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</si>
  <si>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</si>
  <si>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</si>
  <si>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</si>
  <si>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</si>
  <si>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</si>
  <si>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</si>
  <si>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</si>
  <si>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</si>
  <si>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</si>
  <si>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</si>
  <si>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</si>
  <si>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</si>
  <si>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</si>
  <si>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</si>
  <si>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</si>
  <si>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</si>
  <si>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</si>
  <si>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</si>
  <si>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</si>
  <si>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</si>
  <si>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</si>
  <si>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</si>
  <si>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</si>
  <si>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</si>
  <si>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</si>
  <si>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</si>
  <si>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</si>
  <si>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</si>
  <si>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</si>
  <si>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</si>
  <si>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</si>
  <si>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</si>
  <si>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</si>
  <si>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</si>
  <si>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</si>
  <si>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</si>
  <si>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</si>
  <si>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</si>
  <si>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</si>
  <si>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</si>
  <si>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</si>
  <si>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</si>
  <si>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</si>
  <si>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</si>
  <si>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</si>
  <si>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</si>
  <si>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</si>
  <si>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</si>
  <si>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</si>
  <si>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</si>
  <si>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</si>
  <si>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</si>
  <si>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</si>
  <si>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</si>
  <si>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</si>
  <si>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</si>
  <si>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</si>
  <si>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</si>
  <si>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</si>
  <si>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</si>
  <si>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</si>
  <si>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</si>
  <si>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</si>
  <si>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</si>
  <si>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</si>
  <si>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</si>
  <si>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</si>
  <si>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</si>
  <si>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</si>
  <si>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</si>
  <si>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</si>
  <si>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</si>
  <si>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</si>
  <si>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</si>
  <si>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</si>
  <si>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</si>
  <si>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</si>
  <si>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</si>
  <si>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</si>
  <si>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</si>
  <si>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</si>
  <si>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</si>
  <si>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</si>
  <si>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</si>
  <si>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</si>
  <si>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</si>
  <si>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</si>
  <si>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</si>
  <si>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</si>
  <si>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</si>
  <si>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</si>
  <si>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</si>
  <si>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</si>
  <si>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</si>
  <si>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</si>
  <si>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</si>
  <si>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</si>
  <si>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</si>
  <si>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</si>
  <si>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</si>
  <si>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</si>
  <si>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</si>
  <si>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</si>
  <si>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</si>
  <si>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</si>
  <si>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</si>
  <si>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</si>
  <si>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</si>
  <si>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</si>
  <si>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</si>
  <si>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</si>
  <si>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</si>
  <si>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</si>
  <si>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</si>
  <si>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</si>
  <si>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</si>
  <si>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</si>
  <si>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</si>
  <si>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</si>
  <si>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</si>
  <si>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</si>
  <si>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</si>
  <si>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</si>
  <si>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</si>
  <si>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</si>
  <si>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</si>
  <si>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</si>
  <si>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</si>
  <si>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</si>
  <si>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</si>
  <si>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</si>
  <si>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</si>
  <si>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</si>
  <si>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</si>
  <si>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</si>
  <si>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</si>
  <si>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</si>
  <si>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</si>
  <si>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</si>
  <si>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</si>
  <si>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</si>
  <si>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</si>
  <si>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</si>
  <si>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</si>
  <si>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</si>
  <si>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</si>
  <si>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</si>
  <si>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</si>
  <si>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</si>
  <si>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</si>
  <si>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</si>
  <si>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</si>
  <si>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</si>
  <si>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</si>
  <si>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</si>
  <si>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</si>
  <si>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</si>
  <si>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</si>
  <si>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</si>
  <si>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</si>
  <si>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</si>
  <si>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</si>
  <si>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</si>
  <si>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</si>
  <si>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</si>
  <si>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</si>
  <si>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</si>
  <si>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</si>
  <si>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</si>
  <si>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</si>
  <si>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</si>
  <si>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</si>
  <si>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</si>
  <si>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</si>
  <si>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</si>
  <si>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</si>
  <si>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</si>
  <si>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</si>
  <si>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</si>
  <si>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</si>
  <si>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</si>
  <si>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</si>
  <si>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</si>
  <si>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</si>
  <si>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</si>
  <si>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</si>
  <si>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</si>
  <si>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</si>
  <si>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</si>
  <si>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</si>
  <si>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</si>
  <si>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</si>
  <si>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</si>
  <si>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</si>
  <si>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</si>
  <si>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</si>
  <si>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</si>
  <si>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</si>
  <si>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</si>
  <si>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</si>
  <si>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</si>
  <si>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</si>
  <si>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</si>
  <si>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</si>
  <si>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</si>
  <si>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</si>
  <si>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</si>
  <si>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</si>
  <si>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</si>
  <si>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</si>
  <si>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</si>
  <si>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</si>
  <si>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</si>
  <si>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</si>
  <si>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</si>
  <si>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</si>
  <si>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</si>
  <si>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</si>
  <si>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</si>
  <si>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</si>
  <si>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</si>
  <si>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</si>
  <si>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</si>
  <si>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</si>
  <si>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</si>
  <si>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</si>
  <si>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</si>
  <si>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</si>
  <si>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</si>
  <si>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</si>
  <si>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</si>
  <si>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</si>
  <si>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</si>
  <si>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</si>
  <si>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</si>
  <si>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</si>
  <si>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</si>
  <si>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</si>
  <si>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</si>
  <si>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</si>
  <si>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</si>
  <si>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</si>
  <si>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</si>
  <si>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</si>
  <si>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</si>
  <si>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</si>
  <si>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</si>
  <si>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</si>
  <si>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</si>
  <si>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</si>
  <si>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</si>
  <si>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</si>
  <si>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</si>
  <si>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</si>
  <si>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</si>
  <si>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</si>
  <si>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</si>
  <si>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</si>
  <si>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</si>
  <si>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</si>
  <si>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</si>
  <si>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</si>
  <si>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</si>
  <si>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</si>
  <si>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</si>
  <si>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</si>
  <si>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</si>
  <si>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</si>
  <si>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</si>
  <si>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</si>
  <si>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</si>
  <si>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</si>
  <si>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</si>
  <si>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</si>
  <si>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</si>
  <si>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</si>
  <si>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</si>
  <si>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</si>
  <si>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</si>
  <si>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</si>
  <si>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</si>
  <si>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</si>
  <si>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</si>
  <si>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</si>
  <si>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</si>
  <si>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</si>
  <si>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</si>
  <si>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</si>
  <si>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</si>
  <si>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</si>
  <si>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</si>
  <si>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</si>
  <si>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</si>
  <si>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</si>
  <si>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</si>
  <si>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</si>
  <si>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</si>
  <si>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</si>
  <si>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</si>
  <si>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</si>
  <si>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</si>
  <si>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</si>
  <si>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</si>
  <si>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</si>
  <si>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</si>
  <si>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</si>
  <si>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</si>
  <si>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</si>
  <si>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</si>
  <si>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</si>
  <si>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</si>
  <si>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</si>
  <si>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</si>
  <si>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</si>
  <si>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</si>
  <si>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</si>
  <si>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</si>
  <si>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</si>
  <si>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</si>
  <si>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</si>
  <si>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</si>
  <si>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</si>
  <si>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</si>
  <si>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</si>
  <si>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</si>
  <si>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</si>
  <si>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</si>
  <si>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</si>
  <si>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</si>
  <si>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</si>
  <si>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</si>
  <si>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</si>
  <si>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</si>
  <si>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</si>
  <si>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</si>
  <si>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</si>
  <si>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</si>
  <si>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</si>
  <si>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</si>
  <si>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</si>
  <si>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</si>
  <si>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</si>
  <si>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</si>
  <si>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</si>
  <si>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</si>
  <si>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</si>
  <si>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</si>
  <si>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</si>
  <si>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</si>
  <si>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</si>
  <si>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</si>
  <si>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</si>
  <si>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</si>
  <si>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</si>
  <si>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</si>
  <si>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</si>
  <si>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</si>
  <si>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</si>
  <si>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</si>
  <si>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</si>
  <si>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</si>
  <si>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</si>
  <si>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</si>
  <si>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</si>
  <si>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</si>
  <si>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</si>
  <si>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</si>
  <si>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</si>
  <si>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</si>
  <si>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</si>
  <si>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</si>
  <si>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</si>
  <si>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</si>
  <si>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</si>
  <si>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</si>
  <si>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</si>
  <si>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</si>
  <si>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</si>
  <si>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</si>
  <si>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</si>
  <si>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</si>
  <si>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</si>
  <si>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</si>
  <si>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</si>
  <si>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</si>
  <si>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</si>
  <si>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</si>
  <si>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</si>
  <si>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</si>
  <si>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</si>
  <si>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</si>
  <si>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</si>
  <si>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</si>
  <si>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</si>
  <si>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</si>
  <si>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</si>
  <si>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</si>
  <si>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</si>
  <si>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</si>
  <si>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</si>
  <si>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</si>
  <si>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</si>
  <si>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</si>
  <si>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</si>
  <si>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</si>
  <si>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</si>
  <si>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</si>
  <si>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</si>
  <si>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</si>
  <si>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</si>
  <si>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</si>
  <si>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</si>
  <si>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</si>
  <si>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</si>
  <si>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</si>
  <si>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</si>
  <si>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</si>
  <si>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</si>
  <si>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</si>
  <si>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</si>
  <si>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</si>
  <si>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</si>
  <si>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</si>
  <si>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</si>
  <si>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</si>
  <si>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</si>
  <si>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</si>
  <si>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</si>
  <si>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</si>
  <si>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</si>
  <si>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</si>
  <si>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</si>
  <si>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</si>
  <si>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</si>
  <si>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</si>
  <si>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</si>
  <si>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</si>
  <si>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</si>
  <si>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</si>
  <si>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</si>
  <si>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</si>
  <si>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</si>
  <si>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</si>
  <si>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</si>
  <si>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</si>
  <si>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</si>
  <si>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</si>
  <si>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</si>
  <si>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</si>
  <si>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</si>
  <si>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</si>
  <si>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</si>
  <si>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</si>
  <si>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</si>
  <si>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</si>
  <si>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</si>
  <si>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</si>
  <si>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</si>
  <si>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</si>
  <si>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</si>
  <si>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</si>
  <si>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</si>
  <si>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</si>
  <si>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</si>
  <si>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</si>
  <si>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</si>
  <si>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</si>
  <si>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</si>
  <si>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</si>
  <si>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</si>
  <si>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</si>
  <si>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</si>
  <si>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</si>
  <si>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</si>
  <si>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</si>
  <si>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</si>
  <si>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</si>
  <si>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</si>
  <si>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</si>
  <si>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</si>
  <si>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</si>
  <si>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</si>
  <si>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</si>
  <si>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</si>
  <si>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</si>
  <si>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</si>
  <si>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</si>
  <si>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</si>
  <si>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</si>
  <si>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</si>
  <si>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</si>
  <si>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</si>
  <si>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</si>
  <si>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</si>
  <si>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</si>
  <si>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</si>
  <si>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</si>
  <si>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</si>
  <si>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</si>
  <si>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</si>
  <si>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</si>
  <si>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</si>
  <si>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</si>
  <si>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</si>
  <si>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</si>
  <si>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</si>
  <si>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</si>
  <si>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</si>
  <si>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</si>
  <si>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</si>
  <si>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</si>
  <si>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</si>
  <si>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</si>
  <si>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</si>
  <si>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</si>
  <si>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</si>
  <si>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</si>
  <si>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</si>
  <si>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</si>
  <si>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</si>
  <si>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</si>
  <si>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</si>
  <si>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</si>
  <si>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</si>
  <si>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</si>
  <si>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</si>
  <si>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</si>
  <si>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</si>
  <si>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</si>
  <si>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</si>
  <si>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</si>
  <si>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</si>
  <si>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</si>
  <si>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</si>
  <si>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</si>
  <si>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</si>
  <si>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</si>
  <si>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</si>
  <si>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</si>
  <si>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</si>
  <si>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</si>
  <si>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</si>
  <si>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</si>
  <si>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</si>
  <si>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</si>
  <si>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</si>
  <si>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</si>
  <si>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</si>
  <si>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</si>
  <si>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</si>
  <si>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</si>
  <si>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</si>
  <si>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</si>
  <si>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</si>
  <si>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</si>
  <si>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</si>
  <si>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</si>
  <si>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</si>
  <si>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</si>
  <si>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</si>
  <si>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</si>
  <si>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</si>
  <si>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</si>
  <si>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</si>
  <si>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</si>
  <si>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</si>
  <si>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</si>
  <si>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</si>
  <si>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</si>
  <si>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</si>
  <si>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</si>
  <si>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</si>
  <si>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</si>
  <si>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</si>
  <si>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</si>
  <si>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</si>
  <si>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</si>
  <si>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</si>
  <si>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</si>
  <si>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</si>
  <si>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</si>
  <si>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</si>
  <si>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</si>
  <si>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</si>
  <si>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</si>
  <si>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</si>
  <si>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</si>
  <si>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</si>
  <si>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</si>
  <si>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</si>
  <si>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</si>
  <si>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</si>
  <si>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</si>
  <si>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</si>
  <si>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</si>
  <si>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</si>
  <si>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</si>
  <si>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</si>
  <si>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</si>
  <si>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</si>
  <si>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</si>
  <si>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</si>
  <si>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</si>
  <si>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</si>
  <si>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</si>
  <si>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</si>
  <si>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</si>
  <si>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</si>
  <si>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</si>
  <si>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</si>
  <si>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</si>
  <si>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</si>
  <si>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</si>
  <si>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</si>
  <si>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</si>
  <si>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</si>
  <si>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</si>
  <si>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</si>
  <si>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</si>
  <si>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</si>
  <si>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</si>
  <si>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</si>
  <si>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</si>
  <si>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</si>
  <si>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</si>
  <si>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</si>
  <si>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</si>
  <si>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</si>
  <si>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</si>
  <si>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</si>
  <si>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</si>
  <si>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</si>
  <si>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</si>
  <si>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</si>
  <si>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</si>
  <si>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</si>
  <si>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</si>
  <si>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</si>
  <si>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</si>
  <si>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</si>
  <si>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</si>
  <si>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</si>
  <si>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</si>
  <si>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</si>
  <si>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</si>
  <si>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</si>
  <si>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</si>
  <si>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</si>
  <si>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</si>
  <si>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</si>
  <si>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</si>
  <si>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</si>
  <si>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</si>
  <si>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</si>
  <si>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</si>
  <si>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</si>
  <si>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</si>
  <si>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</si>
  <si>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</si>
  <si>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</si>
  <si>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</si>
  <si>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</si>
  <si>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</si>
  <si>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</si>
  <si>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</si>
  <si>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</si>
  <si>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</si>
  <si>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</si>
  <si>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</si>
  <si>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</si>
  <si>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</si>
  <si>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</si>
  <si>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</si>
  <si>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</si>
  <si>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</si>
  <si>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</si>
  <si>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</si>
  <si>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</si>
  <si>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</si>
  <si>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</si>
  <si>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</si>
  <si>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</si>
  <si>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</si>
  <si>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</si>
  <si>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</si>
  <si>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</si>
  <si>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</si>
  <si>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</si>
  <si>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</si>
  <si>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</si>
  <si>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</si>
  <si>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</si>
  <si>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</si>
  <si>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</si>
  <si>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</si>
  <si>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</si>
  <si>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</si>
  <si>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</si>
  <si>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</si>
  <si>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</si>
  <si>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</si>
  <si>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Gender</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</si>
  <si>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</si>
  <si>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</si>
  <si>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</si>
  <si>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</si>
  <si>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</si>
  <si>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</si>
  <si>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</si>
  <si>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</si>
  <si>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</si>
  <si>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</si>
  <si>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</si>
  <si>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</si>
  <si>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</si>
  <si>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</si>
  <si>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</si>
  <si>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</si>
  <si>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</si>
  <si>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</si>
  <si>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</si>
  <si>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</si>
  <si>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</si>
  <si>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</si>
  <si>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</si>
  <si>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</si>
  <si>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</si>
  <si>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</si>
  <si>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</si>
  <si>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</si>
  <si>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Reps</t>
  </si>
  <si>
    <t>Calls</t>
  </si>
  <si>
    <t>Amount</t>
  </si>
  <si>
    <t>Sel.Calls</t>
  </si>
  <si>
    <t>Sel.Amount</t>
  </si>
  <si>
    <t>Selected Rep</t>
  </si>
  <si>
    <t>Column Labels</t>
  </si>
  <si>
    <t>TOTAL</t>
  </si>
  <si>
    <t>Rep Summary</t>
  </si>
  <si>
    <t>% of Calls</t>
  </si>
  <si>
    <t>calls</t>
  </si>
  <si>
    <t>amount</t>
  </si>
  <si>
    <t xml:space="preserve">Call Rank </t>
  </si>
  <si>
    <t>Amount Rank</t>
  </si>
  <si>
    <t xml:space="preserve">Labels </t>
  </si>
  <si>
    <t>Images:</t>
  </si>
  <si>
    <r>
      <t xml:space="preserve">CALL CENTRE DASHBOARD - </t>
    </r>
    <r>
      <rPr>
        <sz val="24"/>
        <color theme="1"/>
        <rFont val="Aptos"/>
        <family val="2"/>
        <scheme val="minor"/>
      </rPr>
      <t>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</si>
</sst>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quot;₹&quot;\ #,##0;#,##0\ \-&quot;₹&quot;;&quot;₹&quot;\ #,##0"/>
    <numFmt numFmtId="166" formatCode="0.0"/>
    <numFmt numFmtId="167" formatCode="&quot;₹&quot;\ #,##0;#,##0\ \-&quot;₹&quot;;&quot;₹&quot;\ #,##0"/>
    <numFmt numFmtId="168" formatCode="\$#,###.0,&quot;k&quot;"/>
    <numFmt numFmtId="170" formatCode="&quot;₹&quot;\ #,##0"/>
  </numFmts>
  <fonts count="8"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2"/>
      <color theme="1"/>
      <name val="Aptos"/>
      <family val="2"/>
      <scheme val="minor"/>
    </font>
    <font>
      <sz val="24"/>
      <color theme="1"/>
      <name val="Aptos ExtraBold"/>
      <family val="2"/>
      <scheme val="major"/>
    </font>
    <font>
      <sz val="24"/>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4" fillId="0" borderId="0" applyFont="0" applyFill="0" applyBorder="0" applyAlignment="0" applyProtection="0"/>
  </cellStyleXfs>
  <cellXfs count="3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0" fontId="0" fillId="4" borderId="0" xfId="0" applyFill="1" applyAlignment="1">
      <alignment horizontal="left"/>
    </xf>
    <xf numFmtId="0" fontId="0" fillId="0" borderId="0" xfId="0" applyNumberFormat="1"/>
    <xf numFmtId="0" fontId="0" fillId="0" borderId="0" xfId="0" applyAlignment="1">
      <alignment horizontal="left" indent="1"/>
    </xf>
    <xf numFmtId="0" fontId="0" fillId="5" borderId="0" xfId="0" applyFont="1" applyFill="1" applyBorder="1"/>
    <xf numFmtId="0" fontId="0" fillId="5" borderId="0" xfId="0" applyFont="1" applyFill="1" applyBorder="1" applyAlignment="1">
      <alignment horizontal="center"/>
    </xf>
    <xf numFmtId="170" fontId="0" fillId="5" borderId="0" xfId="0" applyNumberFormat="1" applyFont="1" applyFill="1" applyBorder="1"/>
    <xf numFmtId="0" fontId="1" fillId="5" borderId="0" xfId="0" applyFont="1" applyFill="1" applyBorder="1"/>
    <xf numFmtId="0" fontId="1" fillId="3" borderId="0" xfId="0" applyFont="1" applyFill="1"/>
    <xf numFmtId="9" fontId="0" fillId="0" borderId="0" xfId="1" applyFont="1"/>
    <xf numFmtId="0" fontId="5" fillId="3" borderId="0" xfId="0" applyFont="1" applyFill="1" applyAlignment="1">
      <alignment horizontal="center" vertical="center"/>
    </xf>
    <xf numFmtId="0" fontId="6" fillId="3" borderId="0" xfId="0" applyFont="1" applyFill="1" applyAlignment="1">
      <alignment vertical="center"/>
    </xf>
  </cellXfs>
  <cellStyles count="2">
    <cellStyle name="Normal" xfId="0" builtinId="0"/>
    <cellStyle name="Percent" xfId="1" builtinId="5"/>
  </cellStyles>
  <dxfs count="26">
    <dxf>
      <fill>
        <patternFill patternType="solid">
          <bgColor theme="8"/>
        </patternFill>
      </fill>
    </dxf>
    <dxf>
      <fill>
        <patternFill patternType="solid">
          <bgColor theme="8"/>
        </patternFill>
      </fill>
    </dxf>
    <dxf>
      <fill>
        <patternFill>
          <bgColor theme="8" tint="0.59996337778862885"/>
        </patternFill>
      </fill>
      <border>
        <left style="thin">
          <color theme="1" tint="0.34998626667073579"/>
        </left>
        <right style="thin">
          <color theme="1" tint="0.34998626667073579"/>
        </right>
        <vertical/>
        <horizontal/>
      </bord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ont>
        <b/>
        <color theme="1"/>
      </font>
      <border>
        <bottom style="thin">
          <color theme="8"/>
        </bottom>
        <vertical/>
        <horizontal/>
      </border>
    </dxf>
    <dxf>
      <font>
        <color theme="1"/>
      </font>
      <border diagonalUp="0" diagonalDown="0">
        <left/>
        <right/>
        <top/>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5"/>
    </tableStyle>
    <tableStyle name="SlicerStyleDark5 2" pivot="0" table="0" count="10" xr9:uid="{765900C9-839A-493B-BF06-1F2FF35CABE3}">
      <tableStyleElement type="wholeTable" dxfId="10"/>
      <tableStyleElement type="headerRow" dxfId="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Structure" Target="richData/rdrichvaluestructure.xml"/><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 - Excel.xlsx]Pivots!Weekly Trend</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Pivots!$G$22:$G$29</c:f>
              <c:strCache>
                <c:ptCount val="7"/>
                <c:pt idx="0">
                  <c:v>Sunday</c:v>
                </c:pt>
                <c:pt idx="1">
                  <c:v>Monday</c:v>
                </c:pt>
                <c:pt idx="2">
                  <c:v>Tuesday</c:v>
                </c:pt>
                <c:pt idx="3">
                  <c:v>Wednesday</c:v>
                </c:pt>
                <c:pt idx="4">
                  <c:v>Thursday</c:v>
                </c:pt>
                <c:pt idx="5">
                  <c:v>Friday</c:v>
                </c:pt>
                <c:pt idx="6">
                  <c:v>Saturday</c:v>
                </c:pt>
              </c:strCache>
            </c:strRef>
          </c:cat>
          <c:val>
            <c:numRef>
              <c:f>Pivots!$H$22:$H$29</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C19A-4112-A200-50AA76D0ED82}"/>
            </c:ext>
          </c:extLst>
        </c:ser>
        <c:dLbls>
          <c:showLegendKey val="0"/>
          <c:showVal val="0"/>
          <c:showCatName val="0"/>
          <c:showSerName val="0"/>
          <c:showPercent val="0"/>
          <c:showBubbleSize val="0"/>
        </c:dLbls>
        <c:gapWidth val="25"/>
        <c:axId val="1403709839"/>
        <c:axId val="127580047"/>
      </c:barChart>
      <c:catAx>
        <c:axId val="14037098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80047"/>
        <c:crosses val="autoZero"/>
        <c:auto val="1"/>
        <c:lblAlgn val="ctr"/>
        <c:lblOffset val="100"/>
        <c:noMultiLvlLbl val="0"/>
      </c:catAx>
      <c:valAx>
        <c:axId val="127580047"/>
        <c:scaling>
          <c:orientation val="minMax"/>
        </c:scaling>
        <c:delete val="1"/>
        <c:axPos val="b"/>
        <c:numFmt formatCode="#,##0" sourceLinked="1"/>
        <c:majorTickMark val="none"/>
        <c:minorTickMark val="none"/>
        <c:tickLblPos val="nextTo"/>
        <c:crossAx val="140370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 - Excel.xlsx]Pivots!Monthly Trend</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5"/>
                </a:solidFill>
                <a:latin typeface="+mj-lt"/>
              </a:rPr>
              <a:t>Call Trend</a:t>
            </a:r>
          </a:p>
        </c:rich>
      </c:tx>
      <c:layout>
        <c:manualLayout>
          <c:xMode val="edge"/>
          <c:yMode val="edge"/>
          <c:x val="3.7523169789155569E-2"/>
          <c:y val="4.34306606785442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20000"/>
                  <a:lumOff val="80000"/>
                </a:schemeClr>
              </a:gs>
              <a:gs pos="100000">
                <a:schemeClr val="accent6">
                  <a:alpha val="50000"/>
                </a:schemeClr>
              </a:gs>
            </a:gsLst>
            <a:lin ang="16200000" scaled="1"/>
            <a:tileRect/>
          </a:gra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65000"/>
                  <a:lumOff val="3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Pivots!$C$21</c:f>
              <c:strCache>
                <c:ptCount val="1"/>
                <c:pt idx="0">
                  <c:v>Call Count2</c:v>
                </c:pt>
              </c:strCache>
            </c:strRef>
          </c:tx>
          <c:spPr>
            <a:gradFill flip="none" rotWithShape="1">
              <a:gsLst>
                <a:gs pos="0">
                  <a:schemeClr val="accent6">
                    <a:lumMod val="20000"/>
                    <a:lumOff val="80000"/>
                  </a:schemeClr>
                </a:gs>
                <a:gs pos="100000">
                  <a:schemeClr val="accent6">
                    <a:alpha val="50000"/>
                  </a:schemeClr>
                </a:gs>
              </a:gsLst>
              <a:lin ang="16200000" scaled="1"/>
              <a:tileRect/>
            </a:gradFill>
            <a:ln>
              <a:solidFill>
                <a:schemeClr val="accent6"/>
              </a:solidFill>
            </a:ln>
            <a:effectLst/>
          </c:spPr>
          <c:cat>
            <c:strRef>
              <c:f>Pivots!$A$22:$A$34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Pivots!$C$22:$C$34</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49D0-4351-B6FB-00AE2E8D8151}"/>
            </c:ext>
          </c:extLst>
        </c:ser>
        <c:dLbls>
          <c:showLegendKey val="0"/>
          <c:showVal val="0"/>
          <c:showCatName val="0"/>
          <c:showSerName val="0"/>
          <c:showPercent val="0"/>
          <c:showBubbleSize val="0"/>
        </c:dLbls>
        <c:axId val="1229061647"/>
        <c:axId val="1229066447"/>
      </c:areaChart>
      <c:lineChart>
        <c:grouping val="standard"/>
        <c:varyColors val="0"/>
        <c:ser>
          <c:idx val="0"/>
          <c:order val="0"/>
          <c:tx>
            <c:strRef>
              <c:f>Pivots!$B$21</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lumMod val="65000"/>
                    <a:lumOff val="35000"/>
                  </a:schemeClr>
                </a:solidFill>
              </a:ln>
              <a:effectLst/>
            </c:spPr>
          </c:marker>
          <c:cat>
            <c:strRef>
              <c:f>Pivots!$A$22:$A$34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Pivots!$B$22:$B$34</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49D0-4351-B6FB-00AE2E8D8151}"/>
            </c:ext>
          </c:extLst>
        </c:ser>
        <c:dLbls>
          <c:showLegendKey val="0"/>
          <c:showVal val="0"/>
          <c:showCatName val="0"/>
          <c:showSerName val="0"/>
          <c:showPercent val="0"/>
          <c:showBubbleSize val="0"/>
        </c:dLbls>
        <c:marker val="1"/>
        <c:smooth val="0"/>
        <c:axId val="1229061647"/>
        <c:axId val="1229066447"/>
      </c:lineChart>
      <c:catAx>
        <c:axId val="122906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066447"/>
        <c:crosses val="autoZero"/>
        <c:auto val="1"/>
        <c:lblAlgn val="ctr"/>
        <c:lblOffset val="100"/>
        <c:noMultiLvlLbl val="0"/>
      </c:catAx>
      <c:valAx>
        <c:axId val="1229066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06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solidFill>
                  <a:schemeClr val="accent5"/>
                </a:solidFill>
                <a:latin typeface="+mj-lt"/>
              </a:rPr>
              <a:t>Calls</a:t>
            </a:r>
          </a:p>
        </c:rich>
      </c:tx>
      <c:layout>
        <c:manualLayout>
          <c:xMode val="edge"/>
          <c:yMode val="edge"/>
          <c:x val="3.5250363942466854E-2"/>
          <c:y val="2.84946674265244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Pivots!$F$43:$F$47</c:f>
              <c:strCache>
                <c:ptCount val="5"/>
                <c:pt idx="0">
                  <c:v>R01</c:v>
                </c:pt>
                <c:pt idx="1">
                  <c:v>R02</c:v>
                </c:pt>
                <c:pt idx="2">
                  <c:v>R03</c:v>
                </c:pt>
                <c:pt idx="3">
                  <c:v>R04</c:v>
                </c:pt>
                <c:pt idx="4">
                  <c:v>R05</c:v>
                </c:pt>
              </c:strCache>
            </c:strRef>
          </c:cat>
          <c:val>
            <c:numRef>
              <c:f>Pivots!$G$43:$G$47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51E4-40F4-AB3E-E7A62C5CE5A4}"/>
            </c:ext>
          </c:extLst>
        </c:ser>
        <c:ser>
          <c:idx val="1"/>
          <c:order val="1"/>
          <c:tx>
            <c:strRef>
              <c:f>Pivots!$I$42</c:f>
              <c:strCache>
                <c:ptCount val="1"/>
                <c:pt idx="0">
                  <c:v>Sel.Calls</c:v>
                </c:pt>
              </c:strCache>
            </c:strRef>
          </c:tx>
          <c:spPr>
            <a:gradFill flip="none" rotWithShape="1">
              <a:gsLst>
                <a:gs pos="0">
                  <a:schemeClr val="accent5">
                    <a:lumMod val="40000"/>
                    <a:lumOff val="60000"/>
                  </a:schemeClr>
                </a:gs>
                <a:gs pos="100000">
                  <a:schemeClr val="accent5"/>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Pivots!$I$43:$I$47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51E4-40F4-AB3E-E7A62C5CE5A4}"/>
            </c:ext>
          </c:extLst>
        </c:ser>
        <c:dLbls>
          <c:dLblPos val="outEnd"/>
          <c:showLegendKey val="0"/>
          <c:showVal val="1"/>
          <c:showCatName val="0"/>
          <c:showSerName val="0"/>
          <c:showPercent val="0"/>
          <c:showBubbleSize val="0"/>
        </c:dLbls>
        <c:gapWidth val="25"/>
        <c:overlap val="100"/>
        <c:axId val="345308592"/>
        <c:axId val="345303792"/>
      </c:barChart>
      <c:catAx>
        <c:axId val="34530859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303792"/>
        <c:crosses val="autoZero"/>
        <c:auto val="1"/>
        <c:lblAlgn val="ctr"/>
        <c:lblOffset val="100"/>
        <c:noMultiLvlLbl val="0"/>
      </c:catAx>
      <c:valAx>
        <c:axId val="345303792"/>
        <c:scaling>
          <c:orientation val="minMax"/>
          <c:min val="0"/>
        </c:scaling>
        <c:delete val="1"/>
        <c:axPos val="t"/>
        <c:numFmt formatCode="General" sourceLinked="1"/>
        <c:majorTickMark val="none"/>
        <c:minorTickMark val="none"/>
        <c:tickLblPos val="nextTo"/>
        <c:crossAx val="345308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solidFill>
                  <a:schemeClr val="accent5"/>
                </a:solidFill>
                <a:latin typeface="+mj-lt"/>
              </a:rPr>
              <a:t>Amount</a:t>
            </a:r>
          </a:p>
        </c:rich>
      </c:tx>
      <c:layout>
        <c:manualLayout>
          <c:xMode val="edge"/>
          <c:yMode val="edge"/>
          <c:x val="0"/>
          <c:y val="4.46141577936015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Pivots!$F$43:$F$47</c:f>
              <c:strCache>
                <c:ptCount val="5"/>
                <c:pt idx="0">
                  <c:v>R01</c:v>
                </c:pt>
                <c:pt idx="1">
                  <c:v>R02</c:v>
                </c:pt>
                <c:pt idx="2">
                  <c:v>R03</c:v>
                </c:pt>
                <c:pt idx="3">
                  <c:v>R04</c:v>
                </c:pt>
                <c:pt idx="4">
                  <c:v>R05</c:v>
                </c:pt>
              </c:strCache>
            </c:strRef>
          </c:cat>
          <c:val>
            <c:numRef>
              <c:f>Pivots!$H$43:$H$47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E173-4A51-BEB6-BA6DF7954F9F}"/>
            </c:ext>
          </c:extLst>
        </c:ser>
        <c:ser>
          <c:idx val="2"/>
          <c:order val="2"/>
          <c:tx>
            <c:strRef>
              <c:f>Pivots!$J$42</c:f>
              <c:strCache>
                <c:ptCount val="1"/>
                <c:pt idx="0">
                  <c:v>Sel.Amount</c:v>
                </c:pt>
              </c:strCache>
            </c:strRef>
          </c:tx>
          <c:spPr>
            <a:gradFill>
              <a:gsLst>
                <a:gs pos="0">
                  <a:schemeClr val="accent5">
                    <a:lumMod val="40000"/>
                    <a:lumOff val="60000"/>
                  </a:schemeClr>
                </a:gs>
                <a:gs pos="100000">
                  <a:schemeClr val="accent6"/>
                </a:gs>
              </a:gsLst>
              <a:lin ang="0" scaled="1"/>
            </a:gradFill>
            <a:ln>
              <a:noFill/>
            </a:ln>
            <a:effectLst/>
          </c:spPr>
          <c:invertIfNegative val="0"/>
          <c:dLbls>
            <c:delete val="1"/>
          </c:dLbls>
          <c:val>
            <c:numRef>
              <c:f>Pivots!$J$43:$J$47</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E173-4A51-BEB6-BA6DF7954F9F}"/>
            </c:ext>
          </c:extLst>
        </c:ser>
        <c:dLbls>
          <c:dLblPos val="outEnd"/>
          <c:showLegendKey val="0"/>
          <c:showVal val="1"/>
          <c:showCatName val="0"/>
          <c:showSerName val="0"/>
          <c:showPercent val="0"/>
          <c:showBubbleSize val="0"/>
        </c:dLbls>
        <c:gapWidth val="25"/>
        <c:overlap val="100"/>
        <c:axId val="345302352"/>
        <c:axId val="345304272"/>
        <c:extLst>
          <c:ext xmlns:c15="http://schemas.microsoft.com/office/drawing/2012/chart" uri="{02D57815-91ED-43cb-92C2-25804820EDAC}">
            <c15:filteredBarSeries>
              <c15:ser>
                <c:idx val="1"/>
                <c:order val="1"/>
                <c:tx>
                  <c:strRef>
                    <c:extLst>
                      <c:ext uri="{02D57815-91ED-43cb-92C2-25804820EDAC}">
                        <c15:formulaRef>
                          <c15:sqref>Pivots!$I$42</c15:sqref>
                        </c15:formulaRef>
                      </c:ext>
                    </c:extLst>
                    <c:strCache>
                      <c:ptCount val="1"/>
                      <c:pt idx="0">
                        <c:v>Sel.Calls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Pivots!$I$43:$I$47</c15:sqref>
                        </c15:formulaRef>
                      </c:ext>
                    </c:extLst>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2-E173-4A51-BEB6-BA6DF7954F9F}"/>
                  </c:ext>
                </c:extLst>
              </c15:ser>
            </c15:filteredBarSeries>
          </c:ext>
        </c:extLst>
      </c:barChart>
      <c:catAx>
        <c:axId val="345302352"/>
        <c:scaling>
          <c:orientation val="maxMin"/>
        </c:scaling>
        <c:delete val="1"/>
        <c:axPos val="l"/>
        <c:numFmt formatCode="General" sourceLinked="1"/>
        <c:majorTickMark val="none"/>
        <c:minorTickMark val="none"/>
        <c:tickLblPos val="nextTo"/>
        <c:crossAx val="345304272"/>
        <c:crosses val="autoZero"/>
        <c:auto val="1"/>
        <c:lblAlgn val="ctr"/>
        <c:lblOffset val="100"/>
        <c:noMultiLvlLbl val="0"/>
      </c:catAx>
      <c:valAx>
        <c:axId val="345304272"/>
        <c:scaling>
          <c:orientation val="minMax"/>
        </c:scaling>
        <c:delete val="1"/>
        <c:axPos val="t"/>
        <c:numFmt formatCode="\$#,###.0,&quot;k&quot;" sourceLinked="1"/>
        <c:majorTickMark val="none"/>
        <c:minorTickMark val="none"/>
        <c:tickLblPos val="nextTo"/>
        <c:crossAx val="34530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 - Excel.xlsx]Pivots!PivotTable3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accent5"/>
                </a:solidFill>
                <a:latin typeface="+mj-lt"/>
              </a:rPr>
              <a:t>Female</a:t>
            </a:r>
            <a:r>
              <a:rPr lang="en-IN" sz="1800" baseline="0">
                <a:latin typeface="+mj-lt"/>
              </a:rPr>
              <a:t> vs. </a:t>
            </a:r>
            <a:r>
              <a:rPr lang="en-IN" sz="1800" baseline="0">
                <a:solidFill>
                  <a:schemeClr val="accent4"/>
                </a:solidFill>
                <a:latin typeface="+mj-lt"/>
              </a:rPr>
              <a:t>Male</a:t>
            </a:r>
            <a:r>
              <a:rPr lang="en-IN" sz="1800" baseline="0">
                <a:latin typeface="+mj-lt"/>
              </a:rPr>
              <a:t> Callers</a:t>
            </a:r>
            <a:endParaRPr lang="en-IN" sz="1800">
              <a:latin typeface="+mj-lt"/>
            </a:endParaRPr>
          </a:p>
        </c:rich>
      </c:tx>
      <c:layout>
        <c:manualLayout>
          <c:xMode val="edge"/>
          <c:yMode val="edge"/>
          <c:x val="0.11780656053109061"/>
          <c:y val="2.92553252754492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6">
                <a:lumMod val="20000"/>
                <a:lumOff val="8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accent6">
                <a:lumMod val="20000"/>
                <a:lumOff val="8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Pivots!$C$54:$C$55</c:f>
              <c:strCache>
                <c:ptCount val="1"/>
                <c:pt idx="0">
                  <c:v>Female</c:v>
                </c:pt>
              </c:strCache>
            </c:strRef>
          </c:tx>
          <c:spPr>
            <a:solidFill>
              <a:schemeClr val="accent5"/>
            </a:solidFill>
            <a:ln>
              <a:noFill/>
            </a:ln>
            <a:effectLst/>
          </c:spPr>
          <c:invertIfNegative val="0"/>
          <c:dLbls>
            <c:spPr>
              <a:solidFill>
                <a:schemeClr val="accent6">
                  <a:lumMod val="20000"/>
                  <a:lumOff val="8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Pivots!$B$56:$B$59</c:f>
              <c:strCache>
                <c:ptCount val="3"/>
                <c:pt idx="0">
                  <c:v>Cincinnati</c:v>
                </c:pt>
                <c:pt idx="1">
                  <c:v>Cleveland</c:v>
                </c:pt>
                <c:pt idx="2">
                  <c:v>Columbus</c:v>
                </c:pt>
              </c:strCache>
            </c:strRef>
          </c:cat>
          <c:val>
            <c:numRef>
              <c:f>Pivots!$C$56:$C$59</c:f>
              <c:numCache>
                <c:formatCode>#,##0</c:formatCode>
                <c:ptCount val="3"/>
                <c:pt idx="0">
                  <c:v>144</c:v>
                </c:pt>
                <c:pt idx="1">
                  <c:v>326</c:v>
                </c:pt>
                <c:pt idx="2">
                  <c:v>129</c:v>
                </c:pt>
              </c:numCache>
            </c:numRef>
          </c:val>
          <c:extLst>
            <c:ext xmlns:c16="http://schemas.microsoft.com/office/drawing/2014/chart" uri="{C3380CC4-5D6E-409C-BE32-E72D297353CC}">
              <c16:uniqueId val="{00000000-421D-45C6-90F3-E53FAE20D949}"/>
            </c:ext>
          </c:extLst>
        </c:ser>
        <c:ser>
          <c:idx val="1"/>
          <c:order val="1"/>
          <c:tx>
            <c:strRef>
              <c:f>Pivots!$D$54:$D$55</c:f>
              <c:strCache>
                <c:ptCount val="1"/>
                <c:pt idx="0">
                  <c:v>Male</c:v>
                </c:pt>
              </c:strCache>
            </c:strRef>
          </c:tx>
          <c:spPr>
            <a:solidFill>
              <a:schemeClr val="accent4"/>
            </a:solidFill>
            <a:ln>
              <a:noFill/>
            </a:ln>
            <a:effectLst/>
          </c:spPr>
          <c:invertIfNegative val="0"/>
          <c:dLbls>
            <c:spPr>
              <a:solidFill>
                <a:schemeClr val="accent6">
                  <a:lumMod val="20000"/>
                  <a:lumOff val="8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Pivots!$B$56:$B$59</c:f>
              <c:strCache>
                <c:ptCount val="3"/>
                <c:pt idx="0">
                  <c:v>Cincinnati</c:v>
                </c:pt>
                <c:pt idx="1">
                  <c:v>Cleveland</c:v>
                </c:pt>
                <c:pt idx="2">
                  <c:v>Columbus</c:v>
                </c:pt>
              </c:strCache>
            </c:strRef>
          </c:cat>
          <c:val>
            <c:numRef>
              <c:f>Pivots!$D$56:$D$59</c:f>
              <c:numCache>
                <c:formatCode>#,##0</c:formatCode>
                <c:ptCount val="3"/>
                <c:pt idx="0">
                  <c:v>132</c:v>
                </c:pt>
                <c:pt idx="1">
                  <c:v>63</c:v>
                </c:pt>
                <c:pt idx="2">
                  <c:v>206</c:v>
                </c:pt>
              </c:numCache>
            </c:numRef>
          </c:val>
          <c:extLst>
            <c:ext xmlns:c16="http://schemas.microsoft.com/office/drawing/2014/chart" uri="{C3380CC4-5D6E-409C-BE32-E72D297353CC}">
              <c16:uniqueId val="{00000001-421D-45C6-90F3-E53FAE20D949}"/>
            </c:ext>
          </c:extLst>
        </c:ser>
        <c:dLbls>
          <c:dLblPos val="ctr"/>
          <c:showLegendKey val="0"/>
          <c:showVal val="1"/>
          <c:showCatName val="0"/>
          <c:showSerName val="0"/>
          <c:showPercent val="0"/>
          <c:showBubbleSize val="0"/>
        </c:dLbls>
        <c:gapWidth val="25"/>
        <c:overlap val="100"/>
        <c:axId val="345400272"/>
        <c:axId val="345389712"/>
      </c:barChart>
      <c:catAx>
        <c:axId val="3454002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389712"/>
        <c:crosses val="autoZero"/>
        <c:auto val="1"/>
        <c:lblAlgn val="ctr"/>
        <c:lblOffset val="100"/>
        <c:noMultiLvlLbl val="0"/>
      </c:catAx>
      <c:valAx>
        <c:axId val="345389712"/>
        <c:scaling>
          <c:orientation val="minMax"/>
        </c:scaling>
        <c:delete val="1"/>
        <c:axPos val="l"/>
        <c:numFmt formatCode="0%" sourceLinked="1"/>
        <c:majorTickMark val="out"/>
        <c:minorTickMark val="none"/>
        <c:tickLblPos val="nextTo"/>
        <c:crossAx val="34540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Dashboard - Excel.xlsx]Pivots!Rep Satisfaction</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2">
                    <a:lumMod val="50000"/>
                  </a:schemeClr>
                </a:solidFill>
                <a:latin typeface="+mj-lt"/>
              </a:rPr>
              <a:t>Rating</a:t>
            </a:r>
          </a:p>
        </c:rich>
      </c:tx>
      <c:layout>
        <c:manualLayout>
          <c:xMode val="edge"/>
          <c:yMode val="edge"/>
          <c:x val="0.36483065069836629"/>
          <c:y val="4.01041535091359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Pivots!$C$63</c:f>
              <c:strCache>
                <c:ptCount val="1"/>
                <c:pt idx="0">
                  <c:v>Total</c:v>
                </c:pt>
              </c:strCache>
            </c:strRef>
          </c:tx>
          <c:spPr>
            <a:solidFill>
              <a:schemeClr val="bg2">
                <a:lumMod val="50000"/>
              </a:schemeClr>
            </a:solidFill>
            <a:ln>
              <a:noFill/>
            </a:ln>
            <a:effectLst/>
          </c:spPr>
          <c:invertIfNegative val="0"/>
          <c:cat>
            <c:strRef>
              <c:f>Pivots!$B$64:$B$69</c:f>
              <c:strCache>
                <c:ptCount val="5"/>
                <c:pt idx="0">
                  <c:v>1</c:v>
                </c:pt>
                <c:pt idx="1">
                  <c:v>2</c:v>
                </c:pt>
                <c:pt idx="2">
                  <c:v>3</c:v>
                </c:pt>
                <c:pt idx="3">
                  <c:v>4</c:v>
                </c:pt>
                <c:pt idx="4">
                  <c:v>5</c:v>
                </c:pt>
              </c:strCache>
            </c:strRef>
          </c:cat>
          <c:val>
            <c:numRef>
              <c:f>Pivots!$C$64:$C$69</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A322-47FE-A922-D313B4D278C1}"/>
            </c:ext>
          </c:extLst>
        </c:ser>
        <c:dLbls>
          <c:showLegendKey val="0"/>
          <c:showVal val="0"/>
          <c:showCatName val="0"/>
          <c:showSerName val="0"/>
          <c:showPercent val="0"/>
          <c:showBubbleSize val="0"/>
        </c:dLbls>
        <c:gapWidth val="10"/>
        <c:overlap val="-27"/>
        <c:axId val="327321376"/>
        <c:axId val="327322816"/>
      </c:barChart>
      <c:catAx>
        <c:axId val="32732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322816"/>
        <c:crosses val="autoZero"/>
        <c:auto val="1"/>
        <c:lblAlgn val="ctr"/>
        <c:lblOffset val="100"/>
        <c:noMultiLvlLbl val="0"/>
      </c:catAx>
      <c:valAx>
        <c:axId val="3273228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32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jpe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17" Type="http://schemas.openxmlformats.org/officeDocument/2006/relationships/image" Target="../media/image27.jpeg"/><Relationship Id="rId2" Type="http://schemas.openxmlformats.org/officeDocument/2006/relationships/image" Target="../media/image12.svg"/><Relationship Id="rId16" Type="http://schemas.openxmlformats.org/officeDocument/2006/relationships/image" Target="../media/image26.jpe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5" Type="http://schemas.openxmlformats.org/officeDocument/2006/relationships/image" Target="../media/image25.jpe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 Id="rId14" Type="http://schemas.openxmlformats.org/officeDocument/2006/relationships/image" Target="../media/image24.jpeg"/></Relationships>
</file>

<file path=xl/drawings/drawing1.xml><?xml version="1.0" encoding="utf-8"?>
<xdr:wsDr xmlns:xdr="http://schemas.openxmlformats.org/drawingml/2006/spreadsheetDrawing" xmlns:a="http://schemas.openxmlformats.org/drawingml/2006/main">
  <xdr:twoCellAnchor editAs="oneCell">
    <xdr:from>
      <xdr:col>11</xdr:col>
      <xdr:colOff>369416</xdr:colOff>
      <xdr:row>15</xdr:row>
      <xdr:rowOff>85764</xdr:rowOff>
    </xdr:from>
    <xdr:to>
      <xdr:col>13</xdr:col>
      <xdr:colOff>650669</xdr:colOff>
      <xdr:row>25</xdr:row>
      <xdr:rowOff>39583</xdr:rowOff>
    </xdr:to>
    <mc:AlternateContent xmlns:mc="http://schemas.openxmlformats.org/markup-compatibility/2006">
      <mc:Choice xmlns:a14="http://schemas.microsoft.com/office/drawing/2010/main" Requires="a14">
        <xdr:graphicFrame macro="">
          <xdr:nvGraphicFramePr>
            <xdr:cNvPr id="26" name="Representative">
              <a:extLst>
                <a:ext uri="{FF2B5EF4-FFF2-40B4-BE49-F238E27FC236}">
                  <a16:creationId xmlns:a16="http://schemas.microsoft.com/office/drawing/2014/main" id="{45447D4F-67CF-4F72-B15E-6063B68DF18B}"/>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6326871" y="3214582"/>
              <a:ext cx="1597434" cy="1801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3</xdr:row>
      <xdr:rowOff>0</xdr:rowOff>
    </xdr:from>
    <xdr:to>
      <xdr:col>3</xdr:col>
      <xdr:colOff>552450</xdr:colOff>
      <xdr:row>8</xdr:row>
      <xdr:rowOff>0</xdr:rowOff>
    </xdr:to>
    <xdr:sp macro="" textlink="Pivots!A4">
      <xdr:nvSpPr>
        <xdr:cNvPr id="2" name="Rectangle 1">
          <a:extLst>
            <a:ext uri="{FF2B5EF4-FFF2-40B4-BE49-F238E27FC236}">
              <a16:creationId xmlns:a16="http://schemas.microsoft.com/office/drawing/2014/main" id="{928FFA81-F725-F37A-4D4E-FFE0E00E5EB2}"/>
            </a:ext>
          </a:extLst>
        </xdr:cNvPr>
        <xdr:cNvSpPr/>
      </xdr:nvSpPr>
      <xdr:spPr>
        <a:xfrm>
          <a:off x="355600" y="552450"/>
          <a:ext cx="1212850" cy="92075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5DE2B9-FEC8-4426-8B25-5B4BDCEDF137}" type="TxLink">
            <a:rPr lang="en-US" sz="2000" b="0" i="0" u="none" strike="noStrike">
              <a:solidFill>
                <a:schemeClr val="bg1"/>
              </a:solidFill>
              <a:latin typeface="+mj-lt"/>
            </a:rPr>
            <a:pPr algn="ctr"/>
            <a:t>1,000</a:t>
          </a:fld>
          <a:endParaRPr lang="en-IN" sz="2000">
            <a:solidFill>
              <a:schemeClr val="bg1"/>
            </a:solidFill>
            <a:latin typeface="+mj-lt"/>
          </a:endParaRPr>
        </a:p>
      </xdr:txBody>
    </xdr:sp>
    <xdr:clientData/>
  </xdr:twoCellAnchor>
  <xdr:twoCellAnchor>
    <xdr:from>
      <xdr:col>2</xdr:col>
      <xdr:colOff>44450</xdr:colOff>
      <xdr:row>3</xdr:row>
      <xdr:rowOff>44450</xdr:rowOff>
    </xdr:from>
    <xdr:to>
      <xdr:col>3</xdr:col>
      <xdr:colOff>469900</xdr:colOff>
      <xdr:row>4</xdr:row>
      <xdr:rowOff>76200</xdr:rowOff>
    </xdr:to>
    <xdr:sp macro="" textlink="">
      <xdr:nvSpPr>
        <xdr:cNvPr id="3" name="TextBox 2">
          <a:extLst>
            <a:ext uri="{FF2B5EF4-FFF2-40B4-BE49-F238E27FC236}">
              <a16:creationId xmlns:a16="http://schemas.microsoft.com/office/drawing/2014/main" id="{AAD76BE3-D213-F349-58AE-09615C1B0A61}"/>
            </a:ext>
          </a:extLst>
        </xdr:cNvPr>
        <xdr:cNvSpPr txBox="1"/>
      </xdr:nvSpPr>
      <xdr:spPr>
        <a:xfrm>
          <a:off x="400050" y="596900"/>
          <a:ext cx="10858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mj-lt"/>
            </a:rPr>
            <a:t>Calls</a:t>
          </a:r>
        </a:p>
        <a:p>
          <a:endParaRPr lang="en-IN" sz="1100"/>
        </a:p>
      </xdr:txBody>
    </xdr:sp>
    <xdr:clientData/>
  </xdr:twoCellAnchor>
  <xdr:twoCellAnchor editAs="oneCell">
    <xdr:from>
      <xdr:col>2</xdr:col>
      <xdr:colOff>90359</xdr:colOff>
      <xdr:row>3</xdr:row>
      <xdr:rowOff>58010</xdr:rowOff>
    </xdr:from>
    <xdr:to>
      <xdr:col>2</xdr:col>
      <xdr:colOff>307682</xdr:colOff>
      <xdr:row>4</xdr:row>
      <xdr:rowOff>84446</xdr:rowOff>
    </xdr:to>
    <xdr:pic>
      <xdr:nvPicPr>
        <xdr:cNvPr id="4" name="Graphic 3" descr="Receiver with solid fill">
          <a:extLst>
            <a:ext uri="{FF2B5EF4-FFF2-40B4-BE49-F238E27FC236}">
              <a16:creationId xmlns:a16="http://schemas.microsoft.com/office/drawing/2014/main" id="{C44E9AE6-7AEB-452A-AE29-D24C0A1C5B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908095">
          <a:off x="445959" y="610460"/>
          <a:ext cx="217323" cy="210586"/>
        </a:xfrm>
        <a:prstGeom prst="rect">
          <a:avLst/>
        </a:prstGeom>
      </xdr:spPr>
    </xdr:pic>
    <xdr:clientData/>
  </xdr:twoCellAnchor>
  <xdr:twoCellAnchor>
    <xdr:from>
      <xdr:col>2</xdr:col>
      <xdr:colOff>38100</xdr:colOff>
      <xdr:row>6</xdr:row>
      <xdr:rowOff>107950</xdr:rowOff>
    </xdr:from>
    <xdr:to>
      <xdr:col>3</xdr:col>
      <xdr:colOff>412750</xdr:colOff>
      <xdr:row>7</xdr:row>
      <xdr:rowOff>139700</xdr:rowOff>
    </xdr:to>
    <xdr:sp macro="" textlink="Pivots!A10">
      <xdr:nvSpPr>
        <xdr:cNvPr id="5" name="TextBox 4">
          <a:extLst>
            <a:ext uri="{FF2B5EF4-FFF2-40B4-BE49-F238E27FC236}">
              <a16:creationId xmlns:a16="http://schemas.microsoft.com/office/drawing/2014/main" id="{168D2A03-C1FB-1605-56C8-CF0EDBCB4E40}"/>
            </a:ext>
          </a:extLst>
        </xdr:cNvPr>
        <xdr:cNvSpPr txBox="1"/>
      </xdr:nvSpPr>
      <xdr:spPr>
        <a:xfrm>
          <a:off x="393700" y="1212850"/>
          <a:ext cx="10350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CE13C-96F4-4570-B49F-EF6964C2C14C}" type="TxLink">
            <a:rPr lang="en-US" sz="1100" b="0" i="0" u="none" strike="noStrike">
              <a:solidFill>
                <a:schemeClr val="accent6">
                  <a:lumMod val="20000"/>
                  <a:lumOff val="80000"/>
                </a:schemeClr>
              </a:solidFill>
              <a:latin typeface="Aptos"/>
            </a:rPr>
            <a:pPr algn="ctr"/>
            <a:t>189</a:t>
          </a:fld>
          <a:endParaRPr lang="en-IN" sz="1100">
            <a:solidFill>
              <a:schemeClr val="accent6">
                <a:lumMod val="20000"/>
                <a:lumOff val="80000"/>
              </a:schemeClr>
            </a:solidFill>
          </a:endParaRPr>
        </a:p>
      </xdr:txBody>
    </xdr:sp>
    <xdr:clientData/>
  </xdr:twoCellAnchor>
  <xdr:twoCellAnchor>
    <xdr:from>
      <xdr:col>2</xdr:col>
      <xdr:colOff>0</xdr:colOff>
      <xdr:row>9</xdr:row>
      <xdr:rowOff>0</xdr:rowOff>
    </xdr:from>
    <xdr:to>
      <xdr:col>3</xdr:col>
      <xdr:colOff>552450</xdr:colOff>
      <xdr:row>14</xdr:row>
      <xdr:rowOff>0</xdr:rowOff>
    </xdr:to>
    <xdr:sp macro="" textlink="Pivots!B4">
      <xdr:nvSpPr>
        <xdr:cNvPr id="6" name="Rectangle 5">
          <a:extLst>
            <a:ext uri="{FF2B5EF4-FFF2-40B4-BE49-F238E27FC236}">
              <a16:creationId xmlns:a16="http://schemas.microsoft.com/office/drawing/2014/main" id="{DA5286CF-FFF7-4958-8AAD-1DAA6B75D8D1}"/>
            </a:ext>
          </a:extLst>
        </xdr:cNvPr>
        <xdr:cNvSpPr/>
      </xdr:nvSpPr>
      <xdr:spPr>
        <a:xfrm>
          <a:off x="358588" y="1680882"/>
          <a:ext cx="1209862" cy="933824"/>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389EFC8-27BB-4C53-9F28-A0239AA5B758}" type="TxLink">
            <a:rPr lang="en-US" sz="2000" b="0" i="0" u="none" strike="noStrike">
              <a:solidFill>
                <a:schemeClr val="bg1"/>
              </a:solidFill>
              <a:latin typeface="+mj-lt"/>
              <a:ea typeface="+mn-ea"/>
              <a:cs typeface="+mn-cs"/>
            </a:rPr>
            <a:pPr marL="0" indent="0" algn="ctr"/>
            <a:t>₹ 96,623</a:t>
          </a:fld>
          <a:endParaRPr lang="en-IN" sz="2000" b="0" i="0" u="none" strike="noStrike">
            <a:solidFill>
              <a:schemeClr val="bg1"/>
            </a:solidFill>
            <a:latin typeface="+mj-lt"/>
            <a:ea typeface="+mn-ea"/>
            <a:cs typeface="+mn-cs"/>
          </a:endParaRPr>
        </a:p>
      </xdr:txBody>
    </xdr:sp>
    <xdr:clientData/>
  </xdr:twoCellAnchor>
  <xdr:twoCellAnchor>
    <xdr:from>
      <xdr:col>2</xdr:col>
      <xdr:colOff>44450</xdr:colOff>
      <xdr:row>9</xdr:row>
      <xdr:rowOff>44450</xdr:rowOff>
    </xdr:from>
    <xdr:to>
      <xdr:col>3</xdr:col>
      <xdr:colOff>469900</xdr:colOff>
      <xdr:row>10</xdr:row>
      <xdr:rowOff>76200</xdr:rowOff>
    </xdr:to>
    <xdr:sp macro="" textlink="">
      <xdr:nvSpPr>
        <xdr:cNvPr id="7" name="TextBox 6">
          <a:extLst>
            <a:ext uri="{FF2B5EF4-FFF2-40B4-BE49-F238E27FC236}">
              <a16:creationId xmlns:a16="http://schemas.microsoft.com/office/drawing/2014/main" id="{C85A57F2-7E88-4DE4-9EE9-80367D4F3F85}"/>
            </a:ext>
          </a:extLst>
        </xdr:cNvPr>
        <xdr:cNvSpPr txBox="1"/>
      </xdr:nvSpPr>
      <xdr:spPr>
        <a:xfrm>
          <a:off x="400050" y="1701800"/>
          <a:ext cx="10858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mj-lt"/>
            </a:rPr>
            <a:t>Amount</a:t>
          </a:r>
        </a:p>
        <a:p>
          <a:endParaRPr lang="en-IN" sz="1100"/>
        </a:p>
      </xdr:txBody>
    </xdr:sp>
    <xdr:clientData/>
  </xdr:twoCellAnchor>
  <xdr:twoCellAnchor editAs="oneCell">
    <xdr:from>
      <xdr:col>2</xdr:col>
      <xdr:colOff>55067</xdr:colOff>
      <xdr:row>9</xdr:row>
      <xdr:rowOff>87892</xdr:rowOff>
    </xdr:from>
    <xdr:to>
      <xdr:col>2</xdr:col>
      <xdr:colOff>268268</xdr:colOff>
      <xdr:row>10</xdr:row>
      <xdr:rowOff>114329</xdr:rowOff>
    </xdr:to>
    <xdr:pic>
      <xdr:nvPicPr>
        <xdr:cNvPr id="8" name="Graphic 7">
          <a:extLst>
            <a:ext uri="{FF2B5EF4-FFF2-40B4-BE49-F238E27FC236}">
              <a16:creationId xmlns:a16="http://schemas.microsoft.com/office/drawing/2014/main" id="{1C880695-B14E-47A4-98D6-F028D0CD618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rot="21426066">
          <a:off x="413655" y="1768774"/>
          <a:ext cx="213201" cy="213201"/>
        </a:xfrm>
        <a:prstGeom prst="rect">
          <a:avLst/>
        </a:prstGeom>
      </xdr:spPr>
    </xdr:pic>
    <xdr:clientData/>
  </xdr:twoCellAnchor>
  <xdr:twoCellAnchor>
    <xdr:from>
      <xdr:col>2</xdr:col>
      <xdr:colOff>38100</xdr:colOff>
      <xdr:row>12</xdr:row>
      <xdr:rowOff>107950</xdr:rowOff>
    </xdr:from>
    <xdr:to>
      <xdr:col>3</xdr:col>
      <xdr:colOff>412750</xdr:colOff>
      <xdr:row>13</xdr:row>
      <xdr:rowOff>139700</xdr:rowOff>
    </xdr:to>
    <xdr:sp macro="" textlink="Pivots!B10">
      <xdr:nvSpPr>
        <xdr:cNvPr id="9" name="TextBox 8">
          <a:extLst>
            <a:ext uri="{FF2B5EF4-FFF2-40B4-BE49-F238E27FC236}">
              <a16:creationId xmlns:a16="http://schemas.microsoft.com/office/drawing/2014/main" id="{A11A7B2D-5437-40B6-90DF-EF402237A529}"/>
            </a:ext>
          </a:extLst>
        </xdr:cNvPr>
        <xdr:cNvSpPr txBox="1"/>
      </xdr:nvSpPr>
      <xdr:spPr>
        <a:xfrm>
          <a:off x="393700" y="2317750"/>
          <a:ext cx="10350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CD6C7F2-5A84-4034-83A8-0D5286CE5571}" type="TxLink">
            <a:rPr lang="en-US" sz="1100" b="0" i="0" u="none" strike="noStrike">
              <a:solidFill>
                <a:schemeClr val="accent6">
                  <a:lumMod val="20000"/>
                  <a:lumOff val="80000"/>
                </a:schemeClr>
              </a:solidFill>
              <a:latin typeface="Aptos"/>
              <a:ea typeface="+mn-ea"/>
              <a:cs typeface="+mn-cs"/>
            </a:rPr>
            <a:pPr marL="0" indent="0" algn="ctr"/>
            <a:t>₹ 18,415</a:t>
          </a:fld>
          <a:endParaRPr lang="en-IN" sz="1100" b="0" i="0" u="none" strike="noStrike">
            <a:solidFill>
              <a:schemeClr val="accent6">
                <a:lumMod val="20000"/>
                <a:lumOff val="80000"/>
              </a:schemeClr>
            </a:solidFill>
            <a:latin typeface="Aptos"/>
            <a:ea typeface="+mn-ea"/>
            <a:cs typeface="+mn-cs"/>
          </a:endParaRPr>
        </a:p>
      </xdr:txBody>
    </xdr:sp>
    <xdr:clientData/>
  </xdr:twoCellAnchor>
  <xdr:twoCellAnchor>
    <xdr:from>
      <xdr:col>2</xdr:col>
      <xdr:colOff>0</xdr:colOff>
      <xdr:row>14</xdr:row>
      <xdr:rowOff>164353</xdr:rowOff>
    </xdr:from>
    <xdr:to>
      <xdr:col>3</xdr:col>
      <xdr:colOff>552450</xdr:colOff>
      <xdr:row>19</xdr:row>
      <xdr:rowOff>164353</xdr:rowOff>
    </xdr:to>
    <xdr:sp macro="" textlink="Pivots!C4">
      <xdr:nvSpPr>
        <xdr:cNvPr id="10" name="Rectangle 9">
          <a:extLst>
            <a:ext uri="{FF2B5EF4-FFF2-40B4-BE49-F238E27FC236}">
              <a16:creationId xmlns:a16="http://schemas.microsoft.com/office/drawing/2014/main" id="{04DAA2A4-64AD-402B-B11E-24B8BD370EA6}"/>
            </a:ext>
          </a:extLst>
        </xdr:cNvPr>
        <xdr:cNvSpPr/>
      </xdr:nvSpPr>
      <xdr:spPr>
        <a:xfrm>
          <a:off x="358588" y="2779059"/>
          <a:ext cx="1209862" cy="933823"/>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7A1265E-A872-4673-8826-788042536C2A}" type="TxLink">
            <a:rPr lang="en-US" sz="2000" b="0" i="0" u="none" strike="noStrike">
              <a:solidFill>
                <a:schemeClr val="bg1"/>
              </a:solidFill>
              <a:latin typeface="+mj-lt"/>
              <a:ea typeface="+mn-ea"/>
              <a:cs typeface="+mn-cs"/>
            </a:rPr>
            <a:pPr marL="0" indent="0" algn="ctr"/>
            <a:t>89,850</a:t>
          </a:fld>
          <a:endParaRPr lang="en-IN" sz="2000" b="0" i="0" u="none" strike="noStrike">
            <a:solidFill>
              <a:schemeClr val="bg1"/>
            </a:solidFill>
            <a:latin typeface="+mj-lt"/>
            <a:ea typeface="+mn-ea"/>
            <a:cs typeface="+mn-cs"/>
          </a:endParaRPr>
        </a:p>
      </xdr:txBody>
    </xdr:sp>
    <xdr:clientData/>
  </xdr:twoCellAnchor>
  <xdr:twoCellAnchor>
    <xdr:from>
      <xdr:col>2</xdr:col>
      <xdr:colOff>44450</xdr:colOff>
      <xdr:row>15</xdr:row>
      <xdr:rowOff>44450</xdr:rowOff>
    </xdr:from>
    <xdr:to>
      <xdr:col>3</xdr:col>
      <xdr:colOff>469900</xdr:colOff>
      <xdr:row>16</xdr:row>
      <xdr:rowOff>76200</xdr:rowOff>
    </xdr:to>
    <xdr:sp macro="" textlink="">
      <xdr:nvSpPr>
        <xdr:cNvPr id="11" name="TextBox 10">
          <a:extLst>
            <a:ext uri="{FF2B5EF4-FFF2-40B4-BE49-F238E27FC236}">
              <a16:creationId xmlns:a16="http://schemas.microsoft.com/office/drawing/2014/main" id="{21894A74-812B-42E9-B4A3-00B3F045CDB2}"/>
            </a:ext>
          </a:extLst>
        </xdr:cNvPr>
        <xdr:cNvSpPr txBox="1"/>
      </xdr:nvSpPr>
      <xdr:spPr>
        <a:xfrm>
          <a:off x="400050" y="2806700"/>
          <a:ext cx="10858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mj-lt"/>
            </a:rPr>
            <a:t>Duration</a:t>
          </a:r>
        </a:p>
        <a:p>
          <a:endParaRPr lang="en-IN" sz="1100"/>
        </a:p>
      </xdr:txBody>
    </xdr:sp>
    <xdr:clientData/>
  </xdr:twoCellAnchor>
  <xdr:twoCellAnchor editAs="oneCell">
    <xdr:from>
      <xdr:col>2</xdr:col>
      <xdr:colOff>32656</xdr:colOff>
      <xdr:row>15</xdr:row>
      <xdr:rowOff>72952</xdr:rowOff>
    </xdr:from>
    <xdr:to>
      <xdr:col>2</xdr:col>
      <xdr:colOff>245856</xdr:colOff>
      <xdr:row>16</xdr:row>
      <xdr:rowOff>99388</xdr:rowOff>
    </xdr:to>
    <xdr:pic>
      <xdr:nvPicPr>
        <xdr:cNvPr id="12" name="Graphic 11">
          <a:extLst>
            <a:ext uri="{FF2B5EF4-FFF2-40B4-BE49-F238E27FC236}">
              <a16:creationId xmlns:a16="http://schemas.microsoft.com/office/drawing/2014/main" id="{7D3AF112-7852-465E-ADDA-ADCE9160D21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91244" y="2874423"/>
          <a:ext cx="213200" cy="213200"/>
        </a:xfrm>
        <a:prstGeom prst="rect">
          <a:avLst/>
        </a:prstGeom>
      </xdr:spPr>
    </xdr:pic>
    <xdr:clientData/>
  </xdr:twoCellAnchor>
  <xdr:twoCellAnchor>
    <xdr:from>
      <xdr:col>2</xdr:col>
      <xdr:colOff>38100</xdr:colOff>
      <xdr:row>18</xdr:row>
      <xdr:rowOff>107950</xdr:rowOff>
    </xdr:from>
    <xdr:to>
      <xdr:col>3</xdr:col>
      <xdr:colOff>412750</xdr:colOff>
      <xdr:row>19</xdr:row>
      <xdr:rowOff>139700</xdr:rowOff>
    </xdr:to>
    <xdr:sp macro="" textlink="Pivots!C10">
      <xdr:nvSpPr>
        <xdr:cNvPr id="13" name="TextBox 12">
          <a:extLst>
            <a:ext uri="{FF2B5EF4-FFF2-40B4-BE49-F238E27FC236}">
              <a16:creationId xmlns:a16="http://schemas.microsoft.com/office/drawing/2014/main" id="{1B9633A6-997D-4388-B37A-2BD6546F6583}"/>
            </a:ext>
          </a:extLst>
        </xdr:cNvPr>
        <xdr:cNvSpPr txBox="1"/>
      </xdr:nvSpPr>
      <xdr:spPr>
        <a:xfrm>
          <a:off x="393700" y="3422650"/>
          <a:ext cx="10350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A35191-E2ED-4FC3-8F3F-873DDADB5729}" type="TxLink">
            <a:rPr lang="en-US" sz="1100" b="0" i="0" u="none" strike="noStrike">
              <a:solidFill>
                <a:schemeClr val="accent6">
                  <a:lumMod val="20000"/>
                  <a:lumOff val="80000"/>
                </a:schemeClr>
              </a:solidFill>
              <a:latin typeface="Aptos"/>
              <a:ea typeface="+mn-ea"/>
              <a:cs typeface="+mn-cs"/>
            </a:rPr>
            <a:pPr marL="0" indent="0" algn="ctr"/>
            <a:t>16,834</a:t>
          </a:fld>
          <a:endParaRPr lang="en-IN" sz="1100" b="0" i="0" u="none" strike="noStrike">
            <a:solidFill>
              <a:schemeClr val="accent6">
                <a:lumMod val="20000"/>
                <a:lumOff val="80000"/>
              </a:schemeClr>
            </a:solidFill>
            <a:latin typeface="Aptos"/>
            <a:ea typeface="+mn-ea"/>
            <a:cs typeface="+mn-cs"/>
          </a:endParaRPr>
        </a:p>
      </xdr:txBody>
    </xdr:sp>
    <xdr:clientData/>
  </xdr:twoCellAnchor>
  <xdr:twoCellAnchor>
    <xdr:from>
      <xdr:col>2</xdr:col>
      <xdr:colOff>0</xdr:colOff>
      <xdr:row>21</xdr:row>
      <xdr:rowOff>0</xdr:rowOff>
    </xdr:from>
    <xdr:to>
      <xdr:col>3</xdr:col>
      <xdr:colOff>552450</xdr:colOff>
      <xdr:row>26</xdr:row>
      <xdr:rowOff>0</xdr:rowOff>
    </xdr:to>
    <xdr:sp macro="" textlink="Pivots!D4">
      <xdr:nvSpPr>
        <xdr:cNvPr id="14" name="Rectangle 13">
          <a:extLst>
            <a:ext uri="{FF2B5EF4-FFF2-40B4-BE49-F238E27FC236}">
              <a16:creationId xmlns:a16="http://schemas.microsoft.com/office/drawing/2014/main" id="{50B95AC1-6072-4411-AD38-5951EDF3D55B}"/>
            </a:ext>
          </a:extLst>
        </xdr:cNvPr>
        <xdr:cNvSpPr/>
      </xdr:nvSpPr>
      <xdr:spPr>
        <a:xfrm>
          <a:off x="355600" y="3867150"/>
          <a:ext cx="1212850" cy="92075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F931633-118C-49A5-A3C3-39F96F5FF556}" type="TxLink">
            <a:rPr lang="en-US" sz="2000" b="0" i="0" u="none" strike="noStrike">
              <a:solidFill>
                <a:schemeClr val="bg1"/>
              </a:solidFill>
              <a:latin typeface="+mj-lt"/>
              <a:ea typeface="+mn-ea"/>
              <a:cs typeface="+mn-cs"/>
            </a:rPr>
            <a:pPr marL="0" indent="0" algn="ctr"/>
            <a:t>3.9</a:t>
          </a:fld>
          <a:endParaRPr lang="en-IN" sz="2000" b="0" i="0" u="none" strike="noStrike">
            <a:solidFill>
              <a:schemeClr val="bg1"/>
            </a:solidFill>
            <a:latin typeface="+mj-lt"/>
            <a:ea typeface="+mn-ea"/>
            <a:cs typeface="+mn-cs"/>
          </a:endParaRPr>
        </a:p>
      </xdr:txBody>
    </xdr:sp>
    <xdr:clientData/>
  </xdr:twoCellAnchor>
  <xdr:twoCellAnchor>
    <xdr:from>
      <xdr:col>2</xdr:col>
      <xdr:colOff>44450</xdr:colOff>
      <xdr:row>21</xdr:row>
      <xdr:rowOff>44450</xdr:rowOff>
    </xdr:from>
    <xdr:to>
      <xdr:col>3</xdr:col>
      <xdr:colOff>469900</xdr:colOff>
      <xdr:row>22</xdr:row>
      <xdr:rowOff>76200</xdr:rowOff>
    </xdr:to>
    <xdr:sp macro="" textlink="">
      <xdr:nvSpPr>
        <xdr:cNvPr id="15" name="TextBox 14">
          <a:extLst>
            <a:ext uri="{FF2B5EF4-FFF2-40B4-BE49-F238E27FC236}">
              <a16:creationId xmlns:a16="http://schemas.microsoft.com/office/drawing/2014/main" id="{2B5726CF-83FE-4D0B-BAD1-C0D1F4DE4335}"/>
            </a:ext>
          </a:extLst>
        </xdr:cNvPr>
        <xdr:cNvSpPr txBox="1"/>
      </xdr:nvSpPr>
      <xdr:spPr>
        <a:xfrm>
          <a:off x="400050" y="3911600"/>
          <a:ext cx="10858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mj-lt"/>
            </a:rPr>
            <a:t>Avg</a:t>
          </a:r>
          <a:r>
            <a:rPr lang="en-IN" sz="1100" baseline="0">
              <a:solidFill>
                <a:schemeClr val="bg1"/>
              </a:solidFill>
              <a:latin typeface="+mj-lt"/>
            </a:rPr>
            <a:t> Rating</a:t>
          </a:r>
        </a:p>
        <a:p>
          <a:pPr algn="ctr"/>
          <a:endParaRPr lang="en-IN" sz="1100">
            <a:solidFill>
              <a:schemeClr val="bg1"/>
            </a:solidFill>
            <a:latin typeface="+mj-lt"/>
          </a:endParaRPr>
        </a:p>
        <a:p>
          <a:endParaRPr lang="en-IN" sz="1100"/>
        </a:p>
      </xdr:txBody>
    </xdr:sp>
    <xdr:clientData/>
  </xdr:twoCellAnchor>
  <xdr:twoCellAnchor editAs="oneCell">
    <xdr:from>
      <xdr:col>2</xdr:col>
      <xdr:colOff>17714</xdr:colOff>
      <xdr:row>21</xdr:row>
      <xdr:rowOff>58010</xdr:rowOff>
    </xdr:from>
    <xdr:to>
      <xdr:col>2</xdr:col>
      <xdr:colOff>230915</xdr:colOff>
      <xdr:row>22</xdr:row>
      <xdr:rowOff>84446</xdr:rowOff>
    </xdr:to>
    <xdr:pic>
      <xdr:nvPicPr>
        <xdr:cNvPr id="16" name="Graphic 15">
          <a:extLst>
            <a:ext uri="{FF2B5EF4-FFF2-40B4-BE49-F238E27FC236}">
              <a16:creationId xmlns:a16="http://schemas.microsoft.com/office/drawing/2014/main" id="{02DA2328-8E83-4A5B-AA8A-9C6CFCE7375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rot="190464">
          <a:off x="375623" y="3937283"/>
          <a:ext cx="213201" cy="211163"/>
        </a:xfrm>
        <a:prstGeom prst="rect">
          <a:avLst/>
        </a:prstGeom>
      </xdr:spPr>
    </xdr:pic>
    <xdr:clientData/>
  </xdr:twoCellAnchor>
  <xdr:twoCellAnchor>
    <xdr:from>
      <xdr:col>2</xdr:col>
      <xdr:colOff>38100</xdr:colOff>
      <xdr:row>24</xdr:row>
      <xdr:rowOff>107950</xdr:rowOff>
    </xdr:from>
    <xdr:to>
      <xdr:col>3</xdr:col>
      <xdr:colOff>412750</xdr:colOff>
      <xdr:row>25</xdr:row>
      <xdr:rowOff>139700</xdr:rowOff>
    </xdr:to>
    <xdr:sp macro="" textlink="Pivots!D10">
      <xdr:nvSpPr>
        <xdr:cNvPr id="17" name="TextBox 16">
          <a:extLst>
            <a:ext uri="{FF2B5EF4-FFF2-40B4-BE49-F238E27FC236}">
              <a16:creationId xmlns:a16="http://schemas.microsoft.com/office/drawing/2014/main" id="{5F43B5FF-9A6C-4503-9FCF-A75F2BAE922F}"/>
            </a:ext>
          </a:extLst>
        </xdr:cNvPr>
        <xdr:cNvSpPr txBox="1"/>
      </xdr:nvSpPr>
      <xdr:spPr>
        <a:xfrm>
          <a:off x="393700" y="4527550"/>
          <a:ext cx="10350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AB4C9B6-8705-4CCE-9A4B-0DE820472975}" type="TxLink">
            <a:rPr lang="en-US" sz="1100" b="0" i="0" u="none" strike="noStrike">
              <a:solidFill>
                <a:schemeClr val="accent6">
                  <a:lumMod val="20000"/>
                  <a:lumOff val="80000"/>
                </a:schemeClr>
              </a:solidFill>
              <a:latin typeface="Aptos"/>
              <a:ea typeface="+mn-ea"/>
              <a:cs typeface="+mn-cs"/>
            </a:rPr>
            <a:pPr marL="0" indent="0" algn="ctr"/>
            <a:t>3.9</a:t>
          </a:fld>
          <a:endParaRPr lang="en-IN" sz="1100" b="0" i="0" u="none" strike="noStrike">
            <a:solidFill>
              <a:schemeClr val="accent6">
                <a:lumMod val="20000"/>
                <a:lumOff val="80000"/>
              </a:schemeClr>
            </a:solidFill>
            <a:latin typeface="Aptos"/>
            <a:ea typeface="+mn-ea"/>
            <a:cs typeface="+mn-cs"/>
          </a:endParaRPr>
        </a:p>
      </xdr:txBody>
    </xdr:sp>
    <xdr:clientData/>
  </xdr:twoCellAnchor>
  <xdr:twoCellAnchor>
    <xdr:from>
      <xdr:col>2</xdr:col>
      <xdr:colOff>0</xdr:colOff>
      <xdr:row>27</xdr:row>
      <xdr:rowOff>0</xdr:rowOff>
    </xdr:from>
    <xdr:to>
      <xdr:col>3</xdr:col>
      <xdr:colOff>552450</xdr:colOff>
      <xdr:row>32</xdr:row>
      <xdr:rowOff>0</xdr:rowOff>
    </xdr:to>
    <xdr:sp macro="" textlink="Pivots!E4">
      <xdr:nvSpPr>
        <xdr:cNvPr id="22" name="Rectangle 21">
          <a:extLst>
            <a:ext uri="{FF2B5EF4-FFF2-40B4-BE49-F238E27FC236}">
              <a16:creationId xmlns:a16="http://schemas.microsoft.com/office/drawing/2014/main" id="{7B2087F4-BA46-46F5-B2EA-4534BF676AFD}"/>
            </a:ext>
          </a:extLst>
        </xdr:cNvPr>
        <xdr:cNvSpPr/>
      </xdr:nvSpPr>
      <xdr:spPr>
        <a:xfrm>
          <a:off x="358588" y="5042647"/>
          <a:ext cx="1209862" cy="933824"/>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31EFE72-B719-4470-9D0D-B48E908BFF75}" type="TxLink">
            <a:rPr lang="en-US" sz="2000" b="0" i="0" u="none" strike="noStrike">
              <a:solidFill>
                <a:schemeClr val="bg1"/>
              </a:solidFill>
              <a:latin typeface="+mj-lt"/>
              <a:ea typeface="+mn-ea"/>
              <a:cs typeface="+mn-cs"/>
            </a:rPr>
            <a:pPr marL="0" indent="0" algn="ctr"/>
            <a:t>307</a:t>
          </a:fld>
          <a:endParaRPr lang="en-IN" sz="2000" b="0" i="0" u="none" strike="noStrike">
            <a:solidFill>
              <a:schemeClr val="bg1"/>
            </a:solidFill>
            <a:latin typeface="+mj-lt"/>
            <a:ea typeface="+mn-ea"/>
            <a:cs typeface="+mn-cs"/>
          </a:endParaRPr>
        </a:p>
      </xdr:txBody>
    </xdr:sp>
    <xdr:clientData/>
  </xdr:twoCellAnchor>
  <xdr:twoCellAnchor>
    <xdr:from>
      <xdr:col>2</xdr:col>
      <xdr:colOff>44449</xdr:colOff>
      <xdr:row>27</xdr:row>
      <xdr:rowOff>44450</xdr:rowOff>
    </xdr:from>
    <xdr:to>
      <xdr:col>3</xdr:col>
      <xdr:colOff>649940</xdr:colOff>
      <xdr:row>28</xdr:row>
      <xdr:rowOff>127000</xdr:rowOff>
    </xdr:to>
    <xdr:sp macro="" textlink="">
      <xdr:nvSpPr>
        <xdr:cNvPr id="23" name="TextBox 22">
          <a:extLst>
            <a:ext uri="{FF2B5EF4-FFF2-40B4-BE49-F238E27FC236}">
              <a16:creationId xmlns:a16="http://schemas.microsoft.com/office/drawing/2014/main" id="{0B129462-832E-45D9-B225-752238FFDBAD}"/>
            </a:ext>
          </a:extLst>
        </xdr:cNvPr>
        <xdr:cNvSpPr txBox="1"/>
      </xdr:nvSpPr>
      <xdr:spPr>
        <a:xfrm>
          <a:off x="403037" y="5087097"/>
          <a:ext cx="1262903" cy="269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solidFill>
                <a:schemeClr val="bg1"/>
              </a:solidFill>
              <a:latin typeface="+mj-lt"/>
            </a:rPr>
            <a:t>Happy Callers</a:t>
          </a:r>
        </a:p>
        <a:p>
          <a:pPr algn="ctr"/>
          <a:endParaRPr lang="en-IN" sz="1100">
            <a:solidFill>
              <a:schemeClr val="bg1"/>
            </a:solidFill>
            <a:latin typeface="+mj-lt"/>
          </a:endParaRPr>
        </a:p>
        <a:p>
          <a:endParaRPr lang="en-IN" sz="1100"/>
        </a:p>
      </xdr:txBody>
    </xdr:sp>
    <xdr:clientData/>
  </xdr:twoCellAnchor>
  <xdr:twoCellAnchor editAs="oneCell">
    <xdr:from>
      <xdr:col>2</xdr:col>
      <xdr:colOff>25182</xdr:colOff>
      <xdr:row>27</xdr:row>
      <xdr:rowOff>58012</xdr:rowOff>
    </xdr:from>
    <xdr:to>
      <xdr:col>2</xdr:col>
      <xdr:colOff>238383</xdr:colOff>
      <xdr:row>28</xdr:row>
      <xdr:rowOff>84448</xdr:rowOff>
    </xdr:to>
    <xdr:pic>
      <xdr:nvPicPr>
        <xdr:cNvPr id="24" name="Graphic 23">
          <a:extLst>
            <a:ext uri="{FF2B5EF4-FFF2-40B4-BE49-F238E27FC236}">
              <a16:creationId xmlns:a16="http://schemas.microsoft.com/office/drawing/2014/main" id="{85524346-F039-4DBA-A316-88D5888DA39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83770" y="5100659"/>
          <a:ext cx="213201" cy="213201"/>
        </a:xfrm>
        <a:prstGeom prst="rect">
          <a:avLst/>
        </a:prstGeom>
      </xdr:spPr>
    </xdr:pic>
    <xdr:clientData/>
  </xdr:twoCellAnchor>
  <xdr:twoCellAnchor>
    <xdr:from>
      <xdr:col>2</xdr:col>
      <xdr:colOff>38100</xdr:colOff>
      <xdr:row>30</xdr:row>
      <xdr:rowOff>107950</xdr:rowOff>
    </xdr:from>
    <xdr:to>
      <xdr:col>3</xdr:col>
      <xdr:colOff>412750</xdr:colOff>
      <xdr:row>31</xdr:row>
      <xdr:rowOff>139700</xdr:rowOff>
    </xdr:to>
    <xdr:sp macro="" textlink="Pivots!E10">
      <xdr:nvSpPr>
        <xdr:cNvPr id="25" name="TextBox 24">
          <a:extLst>
            <a:ext uri="{FF2B5EF4-FFF2-40B4-BE49-F238E27FC236}">
              <a16:creationId xmlns:a16="http://schemas.microsoft.com/office/drawing/2014/main" id="{CF89CF6F-6E49-44A7-A1B3-B7307640CC43}"/>
            </a:ext>
          </a:extLst>
        </xdr:cNvPr>
        <xdr:cNvSpPr txBox="1"/>
      </xdr:nvSpPr>
      <xdr:spPr>
        <a:xfrm>
          <a:off x="393700" y="5632450"/>
          <a:ext cx="10350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C0F11A7-D929-402E-9DFE-39C35D51AFBC}" type="TxLink">
            <a:rPr lang="en-US" sz="1100" b="0" i="0" u="none" strike="noStrike">
              <a:solidFill>
                <a:schemeClr val="accent6">
                  <a:lumMod val="20000"/>
                  <a:lumOff val="80000"/>
                </a:schemeClr>
              </a:solidFill>
              <a:latin typeface="Aptos"/>
              <a:ea typeface="+mn-ea"/>
              <a:cs typeface="+mn-cs"/>
            </a:rPr>
            <a:pPr marL="0" indent="0" algn="ctr"/>
            <a:t>60</a:t>
          </a:fld>
          <a:endParaRPr lang="en-IN" sz="1100" b="0" i="0" u="none" strike="noStrike">
            <a:solidFill>
              <a:schemeClr val="accent6">
                <a:lumMod val="20000"/>
                <a:lumOff val="80000"/>
              </a:schemeClr>
            </a:solidFill>
            <a:latin typeface="Aptos"/>
            <a:ea typeface="+mn-ea"/>
            <a:cs typeface="+mn-cs"/>
          </a:endParaRPr>
        </a:p>
      </xdr:txBody>
    </xdr:sp>
    <xdr:clientData/>
  </xdr:twoCellAnchor>
  <xdr:twoCellAnchor>
    <xdr:from>
      <xdr:col>10</xdr:col>
      <xdr:colOff>503245</xdr:colOff>
      <xdr:row>3</xdr:row>
      <xdr:rowOff>86931</xdr:rowOff>
    </xdr:from>
    <xdr:to>
      <xdr:col>12</xdr:col>
      <xdr:colOff>623454</xdr:colOff>
      <xdr:row>11</xdr:row>
      <xdr:rowOff>139226</xdr:rowOff>
    </xdr:to>
    <xdr:graphicFrame macro="">
      <xdr:nvGraphicFramePr>
        <xdr:cNvPr id="28" name="Chart 27">
          <a:extLst>
            <a:ext uri="{FF2B5EF4-FFF2-40B4-BE49-F238E27FC236}">
              <a16:creationId xmlns:a16="http://schemas.microsoft.com/office/drawing/2014/main" id="{089CA114-8F87-4087-A980-B78504EE6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46182</xdr:colOff>
      <xdr:row>1</xdr:row>
      <xdr:rowOff>103909</xdr:rowOff>
    </xdr:from>
    <xdr:to>
      <xdr:col>10</xdr:col>
      <xdr:colOff>584947</xdr:colOff>
      <xdr:row>14</xdr:row>
      <xdr:rowOff>23092</xdr:rowOff>
    </xdr:to>
    <xdr:graphicFrame macro="">
      <xdr:nvGraphicFramePr>
        <xdr:cNvPr id="27" name="Chart 26">
          <a:extLst>
            <a:ext uri="{FF2B5EF4-FFF2-40B4-BE49-F238E27FC236}">
              <a16:creationId xmlns:a16="http://schemas.microsoft.com/office/drawing/2014/main" id="{2093B2F8-D70D-4D9C-B5A3-3938CADB6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292761</xdr:colOff>
      <xdr:row>14</xdr:row>
      <xdr:rowOff>161635</xdr:rowOff>
    </xdr:from>
    <xdr:to>
      <xdr:col>11</xdr:col>
      <xdr:colOff>428832</xdr:colOff>
      <xdr:row>32</xdr:row>
      <xdr:rowOff>103909</xdr:rowOff>
    </xdr:to>
    <xdr:sp macro="" textlink="">
      <xdr:nvSpPr>
        <xdr:cNvPr id="20" name="Rectangle 19">
          <a:extLst>
            <a:ext uri="{FF2B5EF4-FFF2-40B4-BE49-F238E27FC236}">
              <a16:creationId xmlns:a16="http://schemas.microsoft.com/office/drawing/2014/main" id="{288A0DF2-CC75-8E59-DD5C-F199662CDE96}"/>
            </a:ext>
          </a:extLst>
        </xdr:cNvPr>
        <xdr:cNvSpPr/>
      </xdr:nvSpPr>
      <xdr:spPr>
        <a:xfrm>
          <a:off x="1966852" y="2747817"/>
          <a:ext cx="4419435" cy="326736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23091</xdr:colOff>
      <xdr:row>15</xdr:row>
      <xdr:rowOff>173182</xdr:rowOff>
    </xdr:from>
    <xdr:to>
      <xdr:col>11</xdr:col>
      <xdr:colOff>381825</xdr:colOff>
      <xdr:row>31</xdr:row>
      <xdr:rowOff>47263</xdr:rowOff>
    </xdr:to>
    <xdr:grpSp>
      <xdr:nvGrpSpPr>
        <xdr:cNvPr id="21" name="Group 20">
          <a:extLst>
            <a:ext uri="{FF2B5EF4-FFF2-40B4-BE49-F238E27FC236}">
              <a16:creationId xmlns:a16="http://schemas.microsoft.com/office/drawing/2014/main" id="{0B568A5F-C7B4-120C-BFD6-149E5DE0070E}"/>
            </a:ext>
          </a:extLst>
        </xdr:cNvPr>
        <xdr:cNvGrpSpPr/>
      </xdr:nvGrpSpPr>
      <xdr:grpSpPr>
        <a:xfrm>
          <a:off x="2032000" y="3302000"/>
          <a:ext cx="4307280" cy="2898990"/>
          <a:chOff x="2013857" y="3195269"/>
          <a:chExt cx="4453561" cy="3078703"/>
        </a:xfrm>
      </xdr:grpSpPr>
      <xdr:graphicFrame macro="">
        <xdr:nvGraphicFramePr>
          <xdr:cNvPr id="18" name="Chart 17">
            <a:extLst>
              <a:ext uri="{FF2B5EF4-FFF2-40B4-BE49-F238E27FC236}">
                <a16:creationId xmlns:a16="http://schemas.microsoft.com/office/drawing/2014/main" id="{950877B7-A062-4D4A-94DF-CF7566200A38}"/>
              </a:ext>
            </a:extLst>
          </xdr:cNvPr>
          <xdr:cNvGraphicFramePr>
            <a:graphicFrameLocks/>
          </xdr:cNvGraphicFramePr>
        </xdr:nvGraphicFramePr>
        <xdr:xfrm>
          <a:off x="2013857" y="3209965"/>
          <a:ext cx="2323940" cy="3064007"/>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19" name="Chart 18">
            <a:extLst>
              <a:ext uri="{FF2B5EF4-FFF2-40B4-BE49-F238E27FC236}">
                <a16:creationId xmlns:a16="http://schemas.microsoft.com/office/drawing/2014/main" id="{F7BF6D05-415B-422A-8360-B85B111E1CC0}"/>
              </a:ext>
            </a:extLst>
          </xdr:cNvPr>
          <xdr:cNvGraphicFramePr>
            <a:graphicFrameLocks/>
          </xdr:cNvGraphicFramePr>
        </xdr:nvGraphicFramePr>
        <xdr:xfrm>
          <a:off x="4315675" y="3195269"/>
          <a:ext cx="2151743" cy="3075214"/>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14</xdr:col>
      <xdr:colOff>115454</xdr:colOff>
      <xdr:row>1</xdr:row>
      <xdr:rowOff>69272</xdr:rowOff>
    </xdr:from>
    <xdr:to>
      <xdr:col>17</xdr:col>
      <xdr:colOff>288636</xdr:colOff>
      <xdr:row>13</xdr:row>
      <xdr:rowOff>23089</xdr:rowOff>
    </xdr:to>
    <xdr:graphicFrame macro="">
      <xdr:nvGraphicFramePr>
        <xdr:cNvPr id="29" name="Chart 28">
          <a:extLst>
            <a:ext uri="{FF2B5EF4-FFF2-40B4-BE49-F238E27FC236}">
              <a16:creationId xmlns:a16="http://schemas.microsoft.com/office/drawing/2014/main" id="{678CE4E1-236B-47B3-BC11-616F28FAF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415636</xdr:colOff>
      <xdr:row>1</xdr:row>
      <xdr:rowOff>0</xdr:rowOff>
    </xdr:from>
    <xdr:to>
      <xdr:col>22</xdr:col>
      <xdr:colOff>0</xdr:colOff>
      <xdr:row>13</xdr:row>
      <xdr:rowOff>0</xdr:rowOff>
    </xdr:to>
    <xdr:graphicFrame macro="">
      <xdr:nvGraphicFramePr>
        <xdr:cNvPr id="30" name="Chart 29">
          <a:extLst>
            <a:ext uri="{FF2B5EF4-FFF2-40B4-BE49-F238E27FC236}">
              <a16:creationId xmlns:a16="http://schemas.microsoft.com/office/drawing/2014/main" id="{CC604DAC-8B69-4D33-A37A-26CB254D7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xdr:from>
      <xdr:col>5</xdr:col>
      <xdr:colOff>0</xdr:colOff>
      <xdr:row>2</xdr:row>
      <xdr:rowOff>0</xdr:rowOff>
    </xdr:from>
    <xdr:to>
      <xdr:col>6</xdr:col>
      <xdr:colOff>0</xdr:colOff>
      <xdr:row>3</xdr:row>
      <xdr:rowOff>0</xdr:rowOff>
    </xdr:to>
    <xdr:sp macro="" textlink="">
      <xdr:nvSpPr>
        <xdr:cNvPr id="10" name="Rectangle 9">
          <a:extLst>
            <a:ext uri="{FF2B5EF4-FFF2-40B4-BE49-F238E27FC236}">
              <a16:creationId xmlns:a16="http://schemas.microsoft.com/office/drawing/2014/main" id="{7F41932D-69A0-4EAE-9BF5-D6E5D5F612A6}"/>
            </a:ext>
          </a:extLst>
        </xdr:cNvPr>
        <xdr:cNvSpPr/>
      </xdr:nvSpPr>
      <xdr:spPr>
        <a:xfrm>
          <a:off x="3458882" y="373529"/>
          <a:ext cx="784412" cy="321236"/>
        </a:xfrm>
        <a:prstGeom prst="rect">
          <a:avLst/>
        </a:prstGeom>
        <a:blipFill dpi="0" rotWithShape="1">
          <a:blip xmlns:r="http://schemas.openxmlformats.org/officeDocument/2006/relationships" r:embed="rId13"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3</xdr:row>
      <xdr:rowOff>0</xdr:rowOff>
    </xdr:from>
    <xdr:to>
      <xdr:col>6</xdr:col>
      <xdr:colOff>0</xdr:colOff>
      <xdr:row>4</xdr:row>
      <xdr:rowOff>0</xdr:rowOff>
    </xdr:to>
    <xdr:sp macro="" textlink="">
      <xdr:nvSpPr>
        <xdr:cNvPr id="11" name="Rectangle 10">
          <a:extLst>
            <a:ext uri="{FF2B5EF4-FFF2-40B4-BE49-F238E27FC236}">
              <a16:creationId xmlns:a16="http://schemas.microsoft.com/office/drawing/2014/main" id="{8DB09CD0-6995-10D6-F945-94F9E2022740}"/>
            </a:ext>
          </a:extLst>
        </xdr:cNvPr>
        <xdr:cNvSpPr/>
      </xdr:nvSpPr>
      <xdr:spPr>
        <a:xfrm>
          <a:off x="3458882" y="694765"/>
          <a:ext cx="784412" cy="321235"/>
        </a:xfrm>
        <a:prstGeom prst="rect">
          <a:avLst/>
        </a:prstGeom>
        <a:blipFill dpi="0" rotWithShape="1">
          <a:blip xmlns:r="http://schemas.openxmlformats.org/officeDocument/2006/relationships" r:embed="rId1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4</xdr:row>
      <xdr:rowOff>0</xdr:rowOff>
    </xdr:from>
    <xdr:to>
      <xdr:col>6</xdr:col>
      <xdr:colOff>0</xdr:colOff>
      <xdr:row>5</xdr:row>
      <xdr:rowOff>0</xdr:rowOff>
    </xdr:to>
    <xdr:sp macro="" textlink="">
      <xdr:nvSpPr>
        <xdr:cNvPr id="12" name="Rectangle 11">
          <a:extLst>
            <a:ext uri="{FF2B5EF4-FFF2-40B4-BE49-F238E27FC236}">
              <a16:creationId xmlns:a16="http://schemas.microsoft.com/office/drawing/2014/main" id="{BD1B6C93-9C67-A5AB-A652-31ABD8D60CE7}"/>
            </a:ext>
          </a:extLst>
        </xdr:cNvPr>
        <xdr:cNvSpPr/>
      </xdr:nvSpPr>
      <xdr:spPr>
        <a:xfrm>
          <a:off x="3458882" y="1016000"/>
          <a:ext cx="784412" cy="321235"/>
        </a:xfrm>
        <a:prstGeom prst="rect">
          <a:avLst/>
        </a:prstGeom>
        <a:blipFill dpi="0" rotWithShape="1">
          <a:blip xmlns:r="http://schemas.openxmlformats.org/officeDocument/2006/relationships" r:embed="rId15"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5</xdr:row>
      <xdr:rowOff>0</xdr:rowOff>
    </xdr:from>
    <xdr:to>
      <xdr:col>6</xdr:col>
      <xdr:colOff>0</xdr:colOff>
      <xdr:row>6</xdr:row>
      <xdr:rowOff>0</xdr:rowOff>
    </xdr:to>
    <xdr:sp macro="" textlink="">
      <xdr:nvSpPr>
        <xdr:cNvPr id="13" name="Rectangle 12">
          <a:extLst>
            <a:ext uri="{FF2B5EF4-FFF2-40B4-BE49-F238E27FC236}">
              <a16:creationId xmlns:a16="http://schemas.microsoft.com/office/drawing/2014/main" id="{2AE2AEC6-1D4D-A733-7F75-3FB485F10DC0}"/>
            </a:ext>
          </a:extLst>
        </xdr:cNvPr>
        <xdr:cNvSpPr/>
      </xdr:nvSpPr>
      <xdr:spPr>
        <a:xfrm>
          <a:off x="3458882" y="1337235"/>
          <a:ext cx="784412" cy="321236"/>
        </a:xfrm>
        <a:prstGeom prst="rect">
          <a:avLst/>
        </a:prstGeom>
        <a:blipFill dpi="0" rotWithShape="1">
          <a:blip xmlns:r="http://schemas.openxmlformats.org/officeDocument/2006/relationships" r:embed="rId16"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6</xdr:row>
      <xdr:rowOff>0</xdr:rowOff>
    </xdr:from>
    <xdr:to>
      <xdr:col>6</xdr:col>
      <xdr:colOff>0</xdr:colOff>
      <xdr:row>7</xdr:row>
      <xdr:rowOff>0</xdr:rowOff>
    </xdr:to>
    <xdr:sp macro="" textlink="">
      <xdr:nvSpPr>
        <xdr:cNvPr id="14" name="Rectangle 13">
          <a:extLst>
            <a:ext uri="{FF2B5EF4-FFF2-40B4-BE49-F238E27FC236}">
              <a16:creationId xmlns:a16="http://schemas.microsoft.com/office/drawing/2014/main" id="{C08DE4AF-A29C-0E0E-5FBC-514A8E0A8398}"/>
            </a:ext>
          </a:extLst>
        </xdr:cNvPr>
        <xdr:cNvSpPr/>
      </xdr:nvSpPr>
      <xdr:spPr>
        <a:xfrm>
          <a:off x="3458882" y="1658471"/>
          <a:ext cx="784412" cy="321235"/>
        </a:xfrm>
        <a:prstGeom prst="rect">
          <a:avLst/>
        </a:prstGeom>
        <a:blipFill dpi="0" rotWithShape="1">
          <a:blip xmlns:r="http://schemas.openxmlformats.org/officeDocument/2006/relationships" r:embed="rId17"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48.621773726853" backgroundQuery="1" createdVersion="8" refreshedVersion="8" minRefreshableVersion="3" recordCount="0" supportSubquery="1" supportAdvancedDrill="1" xr:uid="{3351E172-9740-418B-813C-587996A43E6B}">
  <cacheSource type="external" connectionId="1"/>
  <cacheFields count="3">
    <cacheField name="[customers].[City].[City]" caption="City" numFmtId="0" hierarchy="15" level="1">
      <sharedItems count="3">
        <s v="Cincinnati"/>
        <s v="Cleveland"/>
        <s v="Columbus"/>
      </sharedItems>
    </cacheField>
    <cacheField name="[customers].[Gender].[Gender]" caption="Gend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48.555412615744" backgroundQuery="1" createdVersion="8" refreshedVersion="8" minRefreshableVersion="3" recordCount="0" supportSubquery="1" supportAdvancedDrill="1" xr:uid="{780327A7-2801-4926-8F21-C993B3B03CDA}">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48.534297800928" backgroundQuery="1" createdVersion="8" refreshedVersion="8" minRefreshableVersion="3" recordCount="0" supportSubquery="1" supportAdvancedDrill="1" xr:uid="{B636E89C-148D-489A-AEDF-42C635A6DEC5}">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48.648477430557" backgroundQuery="1" createdVersion="8" refreshedVersion="8" minRefreshableVersion="3" recordCount="0" supportSubquery="1" supportAdvancedDrill="1" xr:uid="{57115899-06EE-4CB3-98DB-5D69BC4F7789}">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48.710839930558" backgroundQuery="1" createdVersion="8" refreshedVersion="8" minRefreshableVersion="3" recordCount="0" supportSubquery="1" supportAdvancedDrill="1" xr:uid="{17CF55C6-058F-4FFB-B3FE-6153D21B61A1}">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48.71084097222" backgroundQuery="1" createdVersion="8" refreshedVersion="8" minRefreshableVersion="3" recordCount="0" supportSubquery="1" supportAdvancedDrill="1" xr:uid="{709E2EF5-9A75-4BD7-AC6E-E0BA900B43E2}">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48.710841550928" backgroundQuery="1" createdVersion="8" refreshedVersion="8" minRefreshableVersion="3" recordCount="0" supportSubquery="1" supportAdvancedDrill="1" xr:uid="{D4FB04FF-EC4D-4495-BE2B-16554290C011}">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48.71084201389" backgroundQuery="1" createdVersion="8" refreshedVersion="8" minRefreshableVersion="3" recordCount="0" supportSubquery="1" supportAdvancedDrill="1" xr:uid="{9824D7A9-6C4F-451E-BF3C-5BA2F3A9DD46}">
  <cacheSource type="external" connectionId="1"/>
  <cacheFields count="1">
    <cacheField name="[calls].[Representative].[Representative]" caption="Representative" numFmtId="0" hierarchy="3" level="1">
      <sharedItems count="1">
        <s v="R01"/>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48.710842708337" backgroundQuery="1" createdVersion="8" refreshedVersion="8" minRefreshableVersion="3" recordCount="0" supportSubquery="1" supportAdvancedDrill="1" xr:uid="{1D14D314-C858-499F-852E-463D22FE6D81}">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48.534293518518" backgroundQuery="1" createdVersion="3" refreshedVersion="8" minRefreshableVersion="3" recordCount="0" supportSubquery="1" supportAdvancedDrill="1" xr:uid="{45A6685C-FF73-4E7D-9A6E-6E9EB37BDAC3}">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361513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F99C95-A70A-4418-82D8-5B9858EFC39D}" name="Rep Amounts" cacheId="63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B72:H91"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B67B42-7E87-4C0D-A30D-226ABAD112B2}" name="Rep Satisfaction" cacheId="9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B63:C6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F9860B-DC4E-4A6F-8954-577B84544AE6}" name="PivotTable3" cacheId="5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54:E59"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AC1DEA-4651-49C3-8480-5F02484ACD69}" name="Selected Rep Pivot" cacheId="92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4:A5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4">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D21A29-B373-4638-A802-9DE8221F1622}" name="Reps Pivot" cacheId="5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C4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F7F0CF-957E-457B-B609-7B12ADFD42A6}" name="Weekly Trend" cacheId="9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G21:H29"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F62778-EC8E-4E38-9418-3F30F192792C}" name="Monthly Trend" cacheId="9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21:C3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0E015C-3007-4168-8C89-E8B1D731A1F9}" name="Rep Pivot" cacheId="9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58E50D-57C4-494D-A330-B8E90695514B}" name="Summary Pivot" cacheId="5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1778D829-1CD9-4BE9-BEED-847DD0CBBF97}" sourceName="[calls].[Representative]">
  <pivotTables>
    <pivotTable tabId="6" name="Rep Pivot"/>
    <pivotTable tabId="6" name="Monthly Trend"/>
    <pivotTable tabId="6" name="Weekly Trend"/>
    <pivotTable tabId="6" name="Selected Rep Pivot"/>
    <pivotTable tabId="6" name="Rep Satisfaction"/>
  </pivotTables>
  <data>
    <olap pivotCacheId="183615136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25D1F8DC-5B6E-4E31-901A-5CD676B07B95}" cache="Slicer_Representative" caption="Representative" level="1" style="SlicerStyleDark5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4"/>
    <tableColumn id="5" xr3:uid="{5A35565E-8707-4DED-AD15-A0669D67B382}" name="Date of Call" dataDxfId="23"/>
    <tableColumn id="6" xr3:uid="{F2E4F158-B41F-47BC-8DF8-DFCADFEE4E40}" name="Purchase Amount"/>
    <tableColumn id="7" xr3:uid="{04B291B5-47BD-4F78-8FD8-D1551CCA6BD9}" name="Satisfaction Rating"/>
    <tableColumn id="8" xr3:uid="{6E4123C0-0B17-43B8-A142-A1E540CE974C}" name="FY" dataDxfId="22">
      <calculatedColumnFormula>IF(MONTH(calls[[#This Row],[Date of Call]])&lt;=6, YEAR(calls[[#This Row],[Date of Call]]), YEAR(calls[[#This Row],[Date of Call]])+1)</calculatedColumnFormula>
    </tableColumn>
    <tableColumn id="9" xr3:uid="{199FA271-5E9B-46CE-9BC6-2801F92CD17E}" name="Day of week" dataDxfId="21">
      <calculatedColumnFormula>TEXT(calls[[#This Row],[Date of Call]],"DDDD")</calculatedColumnFormula>
    </tableColumn>
    <tableColumn id="10" xr3:uid="{328CDB09-95B8-4D5E-9ED9-EF0D363735A1}" name="Duration Bucket" dataDxfId="2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8" headerRowBorderDxfId="17" tableBorderDxfId="16" totalsRowBorderDxfId="15">
  <autoFilter ref="Q3:T18" xr:uid="{27158F51-A707-4171-8A04-81FB0AABCBA5}"/>
  <tableColumns count="4">
    <tableColumn id="1" xr3:uid="{02688061-6A8C-4E23-B7FF-D00CD8B58CAC}" name="Customer ID" dataDxfId="14"/>
    <tableColumn id="2" xr3:uid="{771678B6-DB44-426B-9874-B4E421A440D5}" name="Gender" dataDxfId="13"/>
    <tableColumn id="3" xr3:uid="{B0D41C62-587E-494D-B49A-603F2C05F8D3}" name="Age" dataDxfId="12"/>
    <tableColumn id="4" xr3:uid="{663F92D6-FE31-4D81-9E01-8D066DDC8A88}" name="City" dataDxfId="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AF023-D82F-4DCF-9C64-862F46C4732E}">
  <dimension ref="A1:AA50"/>
  <sheetViews>
    <sheetView tabSelected="1" zoomScale="55" zoomScaleNormal="55" workbookViewId="0">
      <selection activeCell="AD12" sqref="AD12"/>
    </sheetView>
  </sheetViews>
  <sheetFormatPr defaultRowHeight="14.5" x14ac:dyDescent="0.35"/>
  <cols>
    <col min="1" max="1" width="2.5" customWidth="1"/>
    <col min="2" max="2" width="2.1640625" customWidth="1"/>
    <col min="5" max="5" width="4.4140625" customWidth="1"/>
    <col min="16" max="16" width="13.33203125" customWidth="1"/>
    <col min="17" max="17" width="10.6640625" customWidth="1"/>
    <col min="18" max="18" width="9.9140625" customWidth="1"/>
    <col min="20" max="20" width="7.58203125" customWidth="1"/>
    <col min="21" max="21" width="7" customWidth="1"/>
  </cols>
  <sheetData>
    <row r="1" spans="1:27" ht="42.5" customHeight="1" x14ac:dyDescent="0.35">
      <c r="A1" s="20"/>
      <c r="B1" s="20"/>
      <c r="C1" s="38" t="s">
        <v>1086</v>
      </c>
      <c r="D1" s="20"/>
      <c r="E1" s="20"/>
      <c r="F1" s="20"/>
      <c r="G1" s="20"/>
      <c r="H1" s="20"/>
      <c r="I1" s="20"/>
      <c r="J1" s="20"/>
      <c r="K1" s="20"/>
      <c r="L1" s="20"/>
      <c r="M1" s="20"/>
      <c r="N1" s="20"/>
      <c r="O1" s="20"/>
      <c r="P1" s="20"/>
      <c r="Q1" s="20"/>
      <c r="R1" s="20"/>
      <c r="S1" s="20"/>
      <c r="T1" s="20"/>
      <c r="U1" s="20"/>
      <c r="V1" s="20"/>
      <c r="W1" s="20"/>
      <c r="X1" s="20"/>
      <c r="Y1" s="20"/>
      <c r="Z1" s="20"/>
      <c r="AA1" s="20"/>
    </row>
    <row r="2" spans="1:27" x14ac:dyDescent="0.35">
      <c r="A2" s="20"/>
      <c r="B2" s="20"/>
      <c r="C2" s="20"/>
      <c r="D2" s="20"/>
      <c r="E2" s="20"/>
      <c r="F2" s="20"/>
      <c r="G2" s="20"/>
      <c r="H2" s="20"/>
      <c r="I2" s="20"/>
      <c r="J2" s="20"/>
      <c r="K2" s="20"/>
      <c r="L2" s="20"/>
      <c r="M2" s="20"/>
      <c r="N2" s="20"/>
      <c r="O2" s="20"/>
      <c r="P2" s="20"/>
      <c r="Q2" s="20"/>
      <c r="R2" s="20"/>
      <c r="S2" s="20"/>
      <c r="T2" s="20"/>
      <c r="U2" s="20"/>
      <c r="V2" s="20"/>
      <c r="W2" s="20"/>
      <c r="X2" s="20"/>
      <c r="Y2" s="20"/>
      <c r="Z2" s="20"/>
      <c r="AA2" s="20"/>
    </row>
    <row r="3" spans="1:27" x14ac:dyDescent="0.35">
      <c r="A3" s="20"/>
      <c r="B3" s="20"/>
      <c r="C3" s="20"/>
      <c r="D3" s="20"/>
      <c r="E3" s="20"/>
      <c r="F3" s="20"/>
      <c r="G3" s="20"/>
      <c r="H3" s="20"/>
      <c r="I3" s="20"/>
      <c r="J3" s="20"/>
      <c r="K3" s="20"/>
      <c r="L3" s="20"/>
      <c r="M3" s="20"/>
      <c r="N3" s="20"/>
      <c r="O3" s="20"/>
      <c r="P3" s="20"/>
      <c r="Q3" s="20"/>
      <c r="R3" s="20"/>
      <c r="S3" s="20"/>
      <c r="T3" s="20"/>
      <c r="U3" s="20"/>
      <c r="V3" s="20"/>
      <c r="W3" s="20"/>
      <c r="X3" s="20"/>
      <c r="Y3" s="20"/>
      <c r="Z3" s="20"/>
      <c r="AA3" s="20"/>
    </row>
    <row r="4" spans="1:27" x14ac:dyDescent="0.35">
      <c r="A4" s="20"/>
      <c r="B4" s="20"/>
      <c r="C4" s="20"/>
      <c r="D4" s="20"/>
      <c r="E4" s="20"/>
      <c r="F4" s="20"/>
      <c r="G4" s="20"/>
      <c r="H4" s="20"/>
      <c r="I4" s="20"/>
      <c r="J4" s="20"/>
      <c r="K4" s="20"/>
      <c r="L4" s="20"/>
      <c r="M4" s="20"/>
      <c r="N4" s="20"/>
      <c r="O4" s="20"/>
      <c r="P4" s="20"/>
      <c r="Q4" s="20"/>
      <c r="R4" s="20"/>
      <c r="S4" s="20"/>
      <c r="T4" s="20"/>
      <c r="U4" s="20"/>
      <c r="V4" s="20"/>
      <c r="W4" s="20"/>
      <c r="X4" s="20"/>
      <c r="Y4" s="20"/>
      <c r="Z4" s="20"/>
      <c r="AA4" s="20"/>
    </row>
    <row r="5" spans="1:27"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row>
    <row r="6" spans="1:27" x14ac:dyDescent="0.35">
      <c r="A6" s="20"/>
      <c r="B6" s="20"/>
      <c r="C6" s="20"/>
      <c r="D6" s="20"/>
      <c r="E6" s="20"/>
      <c r="F6" s="20"/>
      <c r="G6" s="20"/>
      <c r="H6" s="20"/>
      <c r="I6" s="20"/>
      <c r="J6" s="20"/>
      <c r="K6" s="20"/>
      <c r="L6" s="20"/>
      <c r="M6" s="20"/>
      <c r="N6" s="20"/>
      <c r="O6" s="20"/>
      <c r="P6" s="20"/>
      <c r="Q6" s="20"/>
      <c r="R6" s="20"/>
      <c r="S6" s="20"/>
      <c r="T6" s="20"/>
      <c r="U6" s="20"/>
      <c r="V6" s="20"/>
      <c r="W6" s="20"/>
      <c r="X6" s="20"/>
      <c r="Y6" s="20"/>
      <c r="Z6" s="20"/>
      <c r="AA6" s="20"/>
    </row>
    <row r="7" spans="1:27" x14ac:dyDescent="0.35">
      <c r="A7" s="20"/>
      <c r="B7" s="20"/>
      <c r="C7" s="20"/>
      <c r="D7" s="20"/>
      <c r="E7" s="20"/>
      <c r="F7" s="20"/>
      <c r="G7" s="20"/>
      <c r="H7" s="20"/>
      <c r="I7" s="20"/>
      <c r="J7" s="20"/>
      <c r="K7" s="20"/>
      <c r="L7" s="20"/>
      <c r="M7" s="20"/>
      <c r="N7" s="20"/>
      <c r="O7" s="20"/>
      <c r="P7" s="20"/>
      <c r="Q7" s="20"/>
      <c r="R7" s="20"/>
      <c r="S7" s="20"/>
      <c r="T7" s="20"/>
      <c r="U7" s="20"/>
      <c r="V7" s="20"/>
      <c r="W7" s="20"/>
      <c r="X7" s="20"/>
      <c r="Y7" s="20"/>
      <c r="Z7" s="20"/>
      <c r="AA7" s="20"/>
    </row>
    <row r="8" spans="1:27" x14ac:dyDescent="0.35">
      <c r="A8" s="20"/>
      <c r="B8" s="20"/>
      <c r="C8" s="20"/>
      <c r="D8" s="20"/>
      <c r="E8" s="20"/>
      <c r="F8" s="20"/>
      <c r="G8" s="20"/>
      <c r="H8" s="20"/>
      <c r="I8" s="20"/>
      <c r="J8" s="20"/>
      <c r="K8" s="20"/>
      <c r="L8" s="20"/>
      <c r="M8" s="20"/>
      <c r="N8" s="20"/>
      <c r="O8" s="20"/>
      <c r="P8" s="20"/>
      <c r="Q8" s="20"/>
      <c r="R8" s="20"/>
      <c r="S8" s="20"/>
      <c r="T8" s="20"/>
      <c r="U8" s="20"/>
      <c r="V8" s="20"/>
      <c r="W8" s="20"/>
      <c r="X8" s="20"/>
      <c r="Y8" s="20"/>
      <c r="Z8" s="20"/>
      <c r="AA8" s="20"/>
    </row>
    <row r="9" spans="1:27" x14ac:dyDescent="0.35">
      <c r="A9" s="20"/>
      <c r="B9" s="20"/>
      <c r="C9" s="20"/>
      <c r="D9" s="20"/>
      <c r="E9" s="20"/>
      <c r="F9" s="20"/>
      <c r="G9" s="20"/>
      <c r="H9" s="20"/>
      <c r="I9" s="20"/>
      <c r="J9" s="20"/>
      <c r="K9" s="20"/>
      <c r="L9" s="20"/>
      <c r="M9" s="20"/>
      <c r="N9" s="20"/>
      <c r="O9" s="20"/>
      <c r="P9" s="20"/>
      <c r="Q9" s="20"/>
      <c r="R9" s="20"/>
      <c r="S9" s="20"/>
      <c r="T9" s="20"/>
      <c r="U9" s="20"/>
      <c r="V9" s="20"/>
      <c r="W9" s="20"/>
      <c r="X9" s="20"/>
      <c r="Y9" s="20"/>
      <c r="Z9" s="20"/>
      <c r="AA9" s="20"/>
    </row>
    <row r="10" spans="1:27" x14ac:dyDescent="0.3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row>
    <row r="11" spans="1:27" x14ac:dyDescent="0.3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row>
    <row r="12" spans="1:27" x14ac:dyDescent="0.3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row>
    <row r="13" spans="1:27" x14ac:dyDescent="0.3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row>
    <row r="14" spans="1:27" x14ac:dyDescent="0.3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row>
    <row r="15" spans="1:27" x14ac:dyDescent="0.35">
      <c r="A15" s="20"/>
      <c r="B15" s="20"/>
      <c r="C15" s="20"/>
      <c r="D15" s="20"/>
      <c r="E15" s="20"/>
      <c r="F15" s="20"/>
      <c r="G15" s="20"/>
      <c r="H15" s="20"/>
      <c r="I15" s="20"/>
      <c r="J15" s="20"/>
      <c r="K15" s="20"/>
      <c r="L15" s="20"/>
      <c r="M15" s="20"/>
      <c r="N15" s="20"/>
      <c r="O15" s="20"/>
      <c r="P15" s="31"/>
      <c r="Q15" s="34" t="s">
        <v>11</v>
      </c>
      <c r="R15" s="34" t="s">
        <v>9</v>
      </c>
      <c r="S15" s="34" t="s">
        <v>6</v>
      </c>
      <c r="T15" s="34" t="s">
        <v>13</v>
      </c>
      <c r="U15" s="34" t="s">
        <v>10</v>
      </c>
      <c r="V15" s="34" t="s">
        <v>1077</v>
      </c>
      <c r="W15" s="20"/>
      <c r="X15" s="20"/>
      <c r="Y15" s="20"/>
      <c r="Z15" s="20"/>
      <c r="AA15" s="20"/>
    </row>
    <row r="16" spans="1:27" x14ac:dyDescent="0.35">
      <c r="A16" s="20"/>
      <c r="B16" s="20"/>
      <c r="C16" s="20"/>
      <c r="D16" s="20"/>
      <c r="E16" s="20"/>
      <c r="F16" s="20"/>
      <c r="G16" s="20"/>
      <c r="H16" s="20"/>
      <c r="I16" s="20"/>
      <c r="J16" s="20"/>
      <c r="K16" s="20"/>
      <c r="L16" s="20"/>
      <c r="M16" s="20"/>
      <c r="N16" s="20"/>
      <c r="O16" s="20"/>
      <c r="P16" s="34" t="str" cm="1">
        <f t="array" ref="P16:V33">IF(Pivots!B74:H91="","",Pivots!B74:H91)</f>
        <v>Cincinnati</v>
      </c>
      <c r="Q16" s="34" t="str">
        <v/>
      </c>
      <c r="R16" s="34" t="str">
        <v/>
      </c>
      <c r="S16" s="34" t="str">
        <v/>
      </c>
      <c r="T16" s="34" t="str">
        <v/>
      </c>
      <c r="U16" s="34" t="str">
        <v/>
      </c>
      <c r="V16" s="34" t="str">
        <v/>
      </c>
      <c r="W16" s="20"/>
      <c r="X16" s="20"/>
      <c r="Y16" s="20"/>
      <c r="Z16" s="20"/>
      <c r="AA16" s="20"/>
    </row>
    <row r="17" spans="1:27" x14ac:dyDescent="0.35">
      <c r="A17" s="20"/>
      <c r="B17" s="20"/>
      <c r="C17" s="20"/>
      <c r="D17" s="20"/>
      <c r="E17" s="20"/>
      <c r="F17" s="20"/>
      <c r="G17" s="20"/>
      <c r="H17" s="20"/>
      <c r="I17" s="20"/>
      <c r="J17" s="20"/>
      <c r="K17" s="20"/>
      <c r="L17" s="20"/>
      <c r="M17" s="20"/>
      <c r="N17" s="20"/>
      <c r="O17" s="20"/>
      <c r="P17" s="32" t="str">
        <v>C0003</v>
      </c>
      <c r="Q17" s="33">
        <v>891</v>
      </c>
      <c r="R17" s="33">
        <v>1332</v>
      </c>
      <c r="S17" s="33">
        <v>1282</v>
      </c>
      <c r="T17" s="33">
        <v>739</v>
      </c>
      <c r="U17" s="33">
        <v>560</v>
      </c>
      <c r="V17" s="33">
        <v>4804</v>
      </c>
      <c r="W17" s="20"/>
      <c r="X17" s="20"/>
      <c r="Y17" s="20"/>
      <c r="Z17" s="20"/>
      <c r="AA17" s="20"/>
    </row>
    <row r="18" spans="1:27" x14ac:dyDescent="0.35">
      <c r="A18" s="20"/>
      <c r="B18" s="20"/>
      <c r="C18" s="20"/>
      <c r="D18" s="20"/>
      <c r="E18" s="20"/>
      <c r="F18" s="20"/>
      <c r="G18" s="20"/>
      <c r="H18" s="20"/>
      <c r="I18" s="20"/>
      <c r="J18" s="20"/>
      <c r="K18" s="20"/>
      <c r="L18" s="20"/>
      <c r="M18" s="20"/>
      <c r="N18" s="20"/>
      <c r="O18" s="35"/>
      <c r="P18" s="32" t="str">
        <v>C0004</v>
      </c>
      <c r="Q18" s="33">
        <v>1991</v>
      </c>
      <c r="R18" s="33">
        <v>1886</v>
      </c>
      <c r="S18" s="33">
        <v>1206</v>
      </c>
      <c r="T18" s="33">
        <v>884</v>
      </c>
      <c r="U18" s="33">
        <v>1722</v>
      </c>
      <c r="V18" s="33">
        <v>7689</v>
      </c>
      <c r="W18" s="20"/>
      <c r="X18" s="20"/>
      <c r="Y18" s="20"/>
      <c r="Z18" s="20"/>
      <c r="AA18" s="20"/>
    </row>
    <row r="19" spans="1:27" x14ac:dyDescent="0.35">
      <c r="A19" s="20"/>
      <c r="B19" s="20"/>
      <c r="C19" s="20"/>
      <c r="D19" s="20"/>
      <c r="E19" s="20"/>
      <c r="F19" s="20"/>
      <c r="G19" s="20"/>
      <c r="H19" s="20"/>
      <c r="I19" s="20"/>
      <c r="J19" s="20"/>
      <c r="K19" s="20"/>
      <c r="L19" s="20"/>
      <c r="M19" s="20"/>
      <c r="N19" s="20"/>
      <c r="O19" s="20"/>
      <c r="P19" s="32" t="str">
        <v>C0011</v>
      </c>
      <c r="Q19" s="33">
        <v>1163</v>
      </c>
      <c r="R19" s="33">
        <v>1180</v>
      </c>
      <c r="S19" s="33">
        <v>1616</v>
      </c>
      <c r="T19" s="33">
        <v>1043</v>
      </c>
      <c r="U19" s="33">
        <v>1747</v>
      </c>
      <c r="V19" s="33">
        <v>6749</v>
      </c>
      <c r="W19" s="20"/>
      <c r="X19" s="20"/>
      <c r="Y19" s="20"/>
      <c r="Z19" s="20"/>
      <c r="AA19" s="20"/>
    </row>
    <row r="20" spans="1:27" x14ac:dyDescent="0.35">
      <c r="A20" s="20"/>
      <c r="B20" s="20"/>
      <c r="C20" s="20"/>
      <c r="D20" s="20"/>
      <c r="E20" s="20"/>
      <c r="F20" s="20"/>
      <c r="G20" s="20"/>
      <c r="H20" s="20"/>
      <c r="I20" s="20"/>
      <c r="J20" s="20"/>
      <c r="K20" s="20"/>
      <c r="L20" s="20"/>
      <c r="M20" s="20"/>
      <c r="N20" s="20"/>
      <c r="O20" s="20"/>
      <c r="P20" s="32" t="str">
        <v>C0012</v>
      </c>
      <c r="Q20" s="33">
        <v>1438</v>
      </c>
      <c r="R20" s="33">
        <v>1616</v>
      </c>
      <c r="S20" s="33">
        <v>866</v>
      </c>
      <c r="T20" s="33">
        <v>829</v>
      </c>
      <c r="U20" s="33">
        <v>2070</v>
      </c>
      <c r="V20" s="33">
        <v>6819</v>
      </c>
      <c r="W20" s="20"/>
      <c r="X20" s="20"/>
      <c r="Y20" s="20"/>
      <c r="Z20" s="20"/>
      <c r="AA20" s="20"/>
    </row>
    <row r="21" spans="1:27" x14ac:dyDescent="0.35">
      <c r="A21" s="20"/>
      <c r="B21" s="20"/>
      <c r="C21" s="20"/>
      <c r="D21" s="20"/>
      <c r="E21" s="20"/>
      <c r="F21" s="20"/>
      <c r="G21" s="20"/>
      <c r="H21" s="20"/>
      <c r="I21" s="20"/>
      <c r="J21" s="20"/>
      <c r="K21" s="20"/>
      <c r="L21" s="20"/>
      <c r="M21" s="20"/>
      <c r="N21" s="20"/>
      <c r="O21" s="20"/>
      <c r="P21" s="34" t="str">
        <v>Cleveland</v>
      </c>
      <c r="Q21" s="33" t="str">
        <v/>
      </c>
      <c r="R21" s="33" t="str">
        <v/>
      </c>
      <c r="S21" s="33" t="str">
        <v/>
      </c>
      <c r="T21" s="33" t="str">
        <v/>
      </c>
      <c r="U21" s="33" t="str">
        <v/>
      </c>
      <c r="V21" s="33" t="str">
        <v/>
      </c>
      <c r="W21" s="20"/>
      <c r="X21" s="20"/>
      <c r="Y21" s="20"/>
      <c r="Z21" s="20"/>
      <c r="AA21" s="20"/>
    </row>
    <row r="22" spans="1:27" x14ac:dyDescent="0.35">
      <c r="A22" s="20"/>
      <c r="B22" s="20"/>
      <c r="C22" s="20"/>
      <c r="D22" s="20"/>
      <c r="E22" s="20"/>
      <c r="F22" s="20"/>
      <c r="G22" s="20"/>
      <c r="H22" s="20"/>
      <c r="I22" s="20"/>
      <c r="J22" s="20"/>
      <c r="K22" s="20"/>
      <c r="L22" s="20"/>
      <c r="M22" s="20"/>
      <c r="N22" s="20"/>
      <c r="O22" s="20"/>
      <c r="P22" s="32" t="str">
        <v>C0002</v>
      </c>
      <c r="Q22" s="33">
        <v>1233</v>
      </c>
      <c r="R22" s="33">
        <v>223</v>
      </c>
      <c r="S22" s="33">
        <v>1680</v>
      </c>
      <c r="T22" s="33">
        <v>990</v>
      </c>
      <c r="U22" s="33">
        <v>1508</v>
      </c>
      <c r="V22" s="33">
        <v>5634</v>
      </c>
      <c r="W22" s="20"/>
      <c r="X22" s="20"/>
      <c r="Y22" s="20"/>
      <c r="Z22" s="20"/>
      <c r="AA22" s="20"/>
    </row>
    <row r="23" spans="1:27" x14ac:dyDescent="0.35">
      <c r="A23" s="20"/>
      <c r="B23" s="20"/>
      <c r="C23" s="20"/>
      <c r="D23" s="20"/>
      <c r="E23" s="20"/>
      <c r="F23" s="20"/>
      <c r="G23" s="20"/>
      <c r="H23" s="20"/>
      <c r="I23" s="20"/>
      <c r="J23" s="20"/>
      <c r="K23" s="20"/>
      <c r="L23" s="20"/>
      <c r="M23" s="20"/>
      <c r="N23" s="20"/>
      <c r="O23" s="20"/>
      <c r="P23" s="32" t="str">
        <v>C0007</v>
      </c>
      <c r="Q23" s="33">
        <v>1598</v>
      </c>
      <c r="R23" s="33">
        <v>1907</v>
      </c>
      <c r="S23" s="33">
        <v>869</v>
      </c>
      <c r="T23" s="33">
        <v>1426</v>
      </c>
      <c r="U23" s="33">
        <v>1416</v>
      </c>
      <c r="V23" s="33">
        <v>7216</v>
      </c>
      <c r="W23" s="20"/>
      <c r="X23" s="20"/>
      <c r="Y23" s="20"/>
      <c r="Z23" s="20"/>
      <c r="AA23" s="20"/>
    </row>
    <row r="24" spans="1:27" x14ac:dyDescent="0.35">
      <c r="A24" s="20"/>
      <c r="B24" s="20"/>
      <c r="C24" s="20"/>
      <c r="D24" s="20"/>
      <c r="E24" s="20"/>
      <c r="F24" s="20"/>
      <c r="G24" s="20"/>
      <c r="H24" s="20"/>
      <c r="I24" s="20"/>
      <c r="J24" s="20"/>
      <c r="K24" s="20"/>
      <c r="L24" s="20"/>
      <c r="M24" s="20"/>
      <c r="N24" s="20"/>
      <c r="O24" s="20"/>
      <c r="P24" s="32" t="str">
        <v>C0008</v>
      </c>
      <c r="Q24" s="33">
        <v>900</v>
      </c>
      <c r="R24" s="33">
        <v>1016</v>
      </c>
      <c r="S24" s="33">
        <v>960</v>
      </c>
      <c r="T24" s="33">
        <v>940</v>
      </c>
      <c r="U24" s="33">
        <v>1193</v>
      </c>
      <c r="V24" s="33">
        <v>5009</v>
      </c>
      <c r="W24" s="20"/>
      <c r="X24" s="20"/>
      <c r="Y24" s="20"/>
      <c r="Z24" s="20"/>
      <c r="AA24" s="20"/>
    </row>
    <row r="25" spans="1:27" x14ac:dyDescent="0.35">
      <c r="A25" s="20"/>
      <c r="B25" s="20"/>
      <c r="C25" s="20"/>
      <c r="D25" s="20"/>
      <c r="E25" s="20"/>
      <c r="F25" s="20"/>
      <c r="G25" s="20"/>
      <c r="H25" s="20"/>
      <c r="I25" s="20"/>
      <c r="J25" s="20"/>
      <c r="K25" s="20"/>
      <c r="L25" s="20"/>
      <c r="M25" s="20"/>
      <c r="N25" s="20"/>
      <c r="O25" s="20"/>
      <c r="P25" s="32" t="str">
        <v>C0010</v>
      </c>
      <c r="Q25" s="33">
        <v>900</v>
      </c>
      <c r="R25" s="33">
        <v>1470</v>
      </c>
      <c r="S25" s="33">
        <v>1617</v>
      </c>
      <c r="T25" s="33">
        <v>1314</v>
      </c>
      <c r="U25" s="33">
        <v>941</v>
      </c>
      <c r="V25" s="33">
        <v>6242</v>
      </c>
      <c r="W25" s="20"/>
      <c r="X25" s="20"/>
      <c r="Y25" s="20"/>
      <c r="Z25" s="20"/>
      <c r="AA25" s="20"/>
    </row>
    <row r="26" spans="1:27" x14ac:dyDescent="0.35">
      <c r="A26" s="20"/>
      <c r="B26" s="20"/>
      <c r="C26" s="20"/>
      <c r="D26" s="20"/>
      <c r="E26" s="20"/>
      <c r="F26" s="20"/>
      <c r="G26" s="20"/>
      <c r="H26" s="20"/>
      <c r="I26" s="20"/>
      <c r="J26" s="20"/>
      <c r="K26" s="20"/>
      <c r="L26" s="20"/>
      <c r="M26" s="20"/>
      <c r="N26" s="20"/>
      <c r="O26" s="20"/>
      <c r="P26" s="32" t="str">
        <v>C0013</v>
      </c>
      <c r="Q26" s="33">
        <v>1255</v>
      </c>
      <c r="R26" s="33">
        <v>516</v>
      </c>
      <c r="S26" s="33">
        <v>1874</v>
      </c>
      <c r="T26" s="33">
        <v>1863</v>
      </c>
      <c r="U26" s="33">
        <v>1722</v>
      </c>
      <c r="V26" s="33">
        <v>7230</v>
      </c>
      <c r="W26" s="20"/>
      <c r="X26" s="20"/>
      <c r="Y26" s="20"/>
      <c r="Z26" s="20"/>
      <c r="AA26" s="20"/>
    </row>
    <row r="27" spans="1:27" x14ac:dyDescent="0.35">
      <c r="A27" s="20"/>
      <c r="B27" s="20"/>
      <c r="C27" s="20"/>
      <c r="D27" s="20"/>
      <c r="E27" s="20"/>
      <c r="F27" s="20"/>
      <c r="G27" s="20"/>
      <c r="H27" s="20"/>
      <c r="I27" s="20"/>
      <c r="J27" s="20"/>
      <c r="K27" s="20"/>
      <c r="L27" s="20"/>
      <c r="M27" s="20"/>
      <c r="N27" s="20"/>
      <c r="O27" s="20"/>
      <c r="P27" s="32" t="str">
        <v>C0015</v>
      </c>
      <c r="Q27" s="33">
        <v>1138</v>
      </c>
      <c r="R27" s="33">
        <v>1898</v>
      </c>
      <c r="S27" s="33">
        <v>1482</v>
      </c>
      <c r="T27" s="33">
        <v>846</v>
      </c>
      <c r="U27" s="33">
        <v>1154</v>
      </c>
      <c r="V27" s="33">
        <v>6518</v>
      </c>
      <c r="W27" s="20"/>
      <c r="X27" s="20"/>
      <c r="Y27" s="20"/>
      <c r="Z27" s="20"/>
      <c r="AA27" s="20"/>
    </row>
    <row r="28" spans="1:27" x14ac:dyDescent="0.35">
      <c r="A28" s="20"/>
      <c r="B28" s="20"/>
      <c r="C28" s="20"/>
      <c r="D28" s="20"/>
      <c r="E28" s="20"/>
      <c r="F28" s="20"/>
      <c r="G28" s="20"/>
      <c r="H28" s="20"/>
      <c r="I28" s="20"/>
      <c r="J28" s="20"/>
      <c r="K28" s="20"/>
      <c r="L28" s="20"/>
      <c r="M28" s="20"/>
      <c r="N28" s="20"/>
      <c r="O28" s="20"/>
      <c r="P28" s="34" t="str">
        <v>Columbus</v>
      </c>
      <c r="Q28" s="33" t="str">
        <v/>
      </c>
      <c r="R28" s="33" t="str">
        <v/>
      </c>
      <c r="S28" s="33" t="str">
        <v/>
      </c>
      <c r="T28" s="33" t="str">
        <v/>
      </c>
      <c r="U28" s="33" t="str">
        <v/>
      </c>
      <c r="V28" s="33" t="str">
        <v/>
      </c>
      <c r="W28" s="20"/>
      <c r="X28" s="20"/>
      <c r="Y28" s="20"/>
      <c r="Z28" s="20"/>
      <c r="AA28" s="20"/>
    </row>
    <row r="29" spans="1:27" ht="16" x14ac:dyDescent="0.35">
      <c r="A29" s="20"/>
      <c r="B29" s="20"/>
      <c r="C29" s="20"/>
      <c r="D29" s="20"/>
      <c r="E29" s="20"/>
      <c r="F29" s="20"/>
      <c r="G29" s="20"/>
      <c r="H29" s="20"/>
      <c r="I29" s="20"/>
      <c r="J29" s="20"/>
      <c r="K29" s="20"/>
      <c r="L29" s="20"/>
      <c r="M29" s="37" t="str">
        <f>Pivots!N51</f>
        <v>% of Calls:19%</v>
      </c>
      <c r="N29" s="37"/>
      <c r="O29" s="20"/>
      <c r="P29" s="32" t="str">
        <v>C0001</v>
      </c>
      <c r="Q29" s="33">
        <v>1655</v>
      </c>
      <c r="R29" s="33">
        <v>805</v>
      </c>
      <c r="S29" s="33">
        <v>2263</v>
      </c>
      <c r="T29" s="33">
        <v>987</v>
      </c>
      <c r="U29" s="33">
        <v>1075</v>
      </c>
      <c r="V29">
        <v>6785</v>
      </c>
      <c r="W29" s="20"/>
      <c r="X29" s="20"/>
      <c r="Y29" s="20"/>
      <c r="Z29" s="20"/>
      <c r="AA29" s="20"/>
    </row>
    <row r="30" spans="1:27" ht="16" x14ac:dyDescent="0.35">
      <c r="A30" s="20"/>
      <c r="B30" s="20"/>
      <c r="C30" s="20"/>
      <c r="D30" s="20"/>
      <c r="E30" s="20"/>
      <c r="F30" s="20"/>
      <c r="G30" s="20"/>
      <c r="H30" s="20"/>
      <c r="I30" s="20"/>
      <c r="J30" s="20"/>
      <c r="K30" s="20"/>
      <c r="L30" s="20"/>
      <c r="M30" s="37" t="str">
        <f>Pivots!N52</f>
        <v>Call Rank:4</v>
      </c>
      <c r="N30" s="37"/>
      <c r="O30" s="20"/>
      <c r="P30" s="32" t="str">
        <v>C0005</v>
      </c>
      <c r="Q30" s="33">
        <v>1104</v>
      </c>
      <c r="R30" s="33">
        <v>2280</v>
      </c>
      <c r="S30" s="33">
        <v>1445</v>
      </c>
      <c r="T30" s="33">
        <v>1722</v>
      </c>
      <c r="U30" s="33">
        <v>1196</v>
      </c>
      <c r="V30" s="33">
        <v>7747</v>
      </c>
      <c r="W30" s="20"/>
      <c r="X30" s="20"/>
      <c r="Y30" s="20"/>
      <c r="Z30" s="20"/>
      <c r="AA30" s="20"/>
    </row>
    <row r="31" spans="1:27" ht="16" x14ac:dyDescent="0.35">
      <c r="A31" s="20"/>
      <c r="B31" s="20"/>
      <c r="C31" s="20"/>
      <c r="D31" s="20"/>
      <c r="E31" s="20"/>
      <c r="F31" s="20"/>
      <c r="G31" s="20"/>
      <c r="H31" s="20"/>
      <c r="I31" s="20"/>
      <c r="J31" s="20"/>
      <c r="K31" s="20"/>
      <c r="L31" s="20"/>
      <c r="M31" s="37" t="str">
        <f>Pivots!N53</f>
        <v>Amount Rank:4</v>
      </c>
      <c r="N31" s="37"/>
      <c r="O31" s="20"/>
      <c r="P31" s="32" t="str">
        <v>C0006</v>
      </c>
      <c r="Q31" s="33">
        <v>372</v>
      </c>
      <c r="R31" s="33">
        <v>1818</v>
      </c>
      <c r="S31" s="33">
        <v>1346</v>
      </c>
      <c r="T31" s="33">
        <v>1156</v>
      </c>
      <c r="U31" s="33">
        <v>1484</v>
      </c>
      <c r="V31" s="33">
        <v>6176</v>
      </c>
      <c r="W31" s="20"/>
      <c r="X31" s="20"/>
      <c r="Y31" s="20"/>
      <c r="Z31" s="20"/>
      <c r="AA31" s="20"/>
    </row>
    <row r="32" spans="1:27" x14ac:dyDescent="0.35">
      <c r="A32" s="20"/>
      <c r="B32" s="20"/>
      <c r="C32" s="20"/>
      <c r="D32" s="20"/>
      <c r="E32" s="20"/>
      <c r="F32" s="20"/>
      <c r="G32" s="20"/>
      <c r="H32" s="20"/>
      <c r="I32" s="20"/>
      <c r="J32" s="20"/>
      <c r="K32" s="20"/>
      <c r="L32" s="20"/>
      <c r="M32" s="20"/>
      <c r="N32" s="20"/>
      <c r="O32" s="20"/>
      <c r="P32" s="32" t="str">
        <v>C0009</v>
      </c>
      <c r="Q32" s="33">
        <v>1415</v>
      </c>
      <c r="R32" s="33">
        <v>1271</v>
      </c>
      <c r="S32" s="33">
        <v>1214</v>
      </c>
      <c r="T32" s="33">
        <v>1135</v>
      </c>
      <c r="U32" s="33">
        <v>1566</v>
      </c>
      <c r="V32" s="33">
        <v>6601</v>
      </c>
      <c r="W32" s="20"/>
      <c r="X32" s="20"/>
      <c r="Y32" s="20"/>
      <c r="Z32" s="20"/>
      <c r="AA32" s="20"/>
    </row>
    <row r="33" spans="1:27" x14ac:dyDescent="0.35">
      <c r="A33" s="20"/>
      <c r="B33" s="20"/>
      <c r="C33" s="20"/>
      <c r="D33" s="20"/>
      <c r="E33" s="20"/>
      <c r="F33" s="20"/>
      <c r="G33" s="20"/>
      <c r="H33" s="20"/>
      <c r="I33" s="20"/>
      <c r="J33" s="20"/>
      <c r="K33" s="20"/>
      <c r="L33" s="20"/>
      <c r="M33" s="20"/>
      <c r="N33" s="20"/>
      <c r="O33" s="20"/>
      <c r="P33" s="32" t="str">
        <v>C0014</v>
      </c>
      <c r="Q33" s="33">
        <v>1362</v>
      </c>
      <c r="R33" s="33">
        <v>1363</v>
      </c>
      <c r="S33" s="33">
        <v>1152</v>
      </c>
      <c r="T33" s="33">
        <v>777</v>
      </c>
      <c r="U33" s="33">
        <v>750</v>
      </c>
      <c r="V33" s="33">
        <v>5404</v>
      </c>
      <c r="W33" s="20"/>
      <c r="X33" s="20"/>
      <c r="Y33" s="20"/>
      <c r="Z33" s="20"/>
      <c r="AA33" s="20"/>
    </row>
    <row r="34" spans="1:27" x14ac:dyDescent="0.35">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row>
    <row r="35" spans="1:27" x14ac:dyDescent="0.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row>
    <row r="36" spans="1:27" x14ac:dyDescent="0.3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row>
    <row r="37" spans="1:27" x14ac:dyDescent="0.3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row>
    <row r="38" spans="1:27" x14ac:dyDescent="0.3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row>
    <row r="39" spans="1:27" x14ac:dyDescent="0.3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row>
    <row r="40" spans="1:27" x14ac:dyDescent="0.3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row>
    <row r="41" spans="1:27" x14ac:dyDescent="0.3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row>
    <row r="42" spans="1:27" x14ac:dyDescent="0.3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row>
    <row r="43" spans="1:27" x14ac:dyDescent="0.3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row>
    <row r="44" spans="1:27" x14ac:dyDescent="0.3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row>
    <row r="45" spans="1:27" x14ac:dyDescent="0.3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row>
    <row r="46" spans="1:27" x14ac:dyDescent="0.3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row>
    <row r="47" spans="1:27" x14ac:dyDescent="0.3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row>
    <row r="48" spans="1:27" x14ac:dyDescent="0.3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row>
    <row r="49" spans="1:27" x14ac:dyDescent="0.3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row>
    <row r="50" spans="1:27" x14ac:dyDescent="0.3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row>
  </sheetData>
  <mergeCells count="3">
    <mergeCell ref="M29:N29"/>
    <mergeCell ref="M30:N30"/>
    <mergeCell ref="M31:N31"/>
  </mergeCells>
  <conditionalFormatting sqref="Q17:U27 Q29:U33 Q28:T28">
    <cfRule type="dataBar" priority="2">
      <dataBar>
        <cfvo type="num" val="0"/>
        <cfvo type="formula" val="MAX($Q$17:$U$33)*2"/>
        <color theme="1" tint="0.249977111117893"/>
      </dataBar>
      <extLst>
        <ext xmlns:x14="http://schemas.microsoft.com/office/spreadsheetml/2009/9/main" uri="{B025F937-C7B1-47D3-B67F-A62EFF666E3E}">
          <x14:id>{D8555AFE-C2D9-46F9-A1FD-9B8389BD4AD2}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8555AFE-C2D9-46F9-A1FD-9B8389BD4AD2}">
            <x14:dataBar minLength="0" maxLength="100" gradient="0">
              <x14:cfvo type="num">
                <xm:f>0</xm:f>
              </x14:cfvo>
              <x14:cfvo type="formula">
                <xm:f>MAX($Q$17:$U$33)*2</xm:f>
              </x14:cfvo>
              <x14:negativeFillColor rgb="FFFF0000"/>
              <x14:axisColor rgb="FF000000"/>
            </x14:dataBar>
          </x14:cfRule>
          <xm:sqref>Q17:U27 Q29:U33 Q28:T28</xm:sqref>
        </x14:conditionalFormatting>
        <x14:conditionalFormatting xmlns:xm="http://schemas.microsoft.com/office/excel/2006/main">
          <x14:cfRule type="expression" priority="8" id="{C29C6133-3FD6-4E0E-8C72-63A47964DC28}">
            <xm:f>Q$15=Pivots!$J$40</xm:f>
            <x14:dxf>
              <fill>
                <patternFill>
                  <bgColor theme="8" tint="0.59996337778862885"/>
                </patternFill>
              </fill>
              <border>
                <left style="thin">
                  <color theme="1" tint="0.34998626667073579"/>
                </left>
                <right style="thin">
                  <color theme="1" tint="0.34998626667073579"/>
                </right>
                <vertical/>
                <horizontal/>
              </border>
            </x14:dxf>
          </x14:cfRule>
          <xm:sqref>Q15:U33</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85" zoomScaleNormal="85" workbookViewId="0">
      <selection activeCell="E10" sqref="E10"/>
    </sheetView>
  </sheetViews>
  <sheetFormatPr defaultRowHeight="14.5" x14ac:dyDescent="0.35"/>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6" width="7.5" customWidth="1"/>
    <col min="17" max="17" width="14.58203125" customWidth="1"/>
    <col min="20" max="20" width="10.58203125" customWidth="1"/>
  </cols>
  <sheetData>
    <row r="1" spans="2:20" s="4" customFormat="1" ht="48" customHeight="1" x14ac:dyDescent="0.35">
      <c r="B1" s="5" t="s">
        <v>1002</v>
      </c>
    </row>
    <row r="2" spans="2:20" x14ac:dyDescent="0.35">
      <c r="R2" s="1"/>
    </row>
    <row r="3" spans="2:20" x14ac:dyDescent="0.35">
      <c r="B3" s="14" t="s">
        <v>25</v>
      </c>
      <c r="C3" s="14" t="s">
        <v>0</v>
      </c>
      <c r="D3" s="15" t="s">
        <v>1</v>
      </c>
      <c r="E3" s="16" t="s">
        <v>3</v>
      </c>
      <c r="F3" s="16" t="s">
        <v>4</v>
      </c>
      <c r="G3" s="14" t="s">
        <v>2</v>
      </c>
      <c r="H3" s="14" t="s">
        <v>994</v>
      </c>
      <c r="I3" t="s">
        <v>1035</v>
      </c>
      <c r="J3" t="s">
        <v>1036</v>
      </c>
      <c r="K3" t="s">
        <v>1037</v>
      </c>
      <c r="L3" t="s">
        <v>1038</v>
      </c>
      <c r="Q3" s="8" t="s">
        <v>0</v>
      </c>
      <c r="R3" s="9" t="s">
        <v>1041</v>
      </c>
      <c r="S3" s="9" t="s">
        <v>995</v>
      </c>
      <c r="T3" s="10" t="s">
        <v>996</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997</v>
      </c>
      <c r="S4" s="2">
        <v>41</v>
      </c>
      <c r="T4" s="7" t="s">
        <v>999</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997</v>
      </c>
      <c r="S5" s="2">
        <v>31</v>
      </c>
      <c r="T5" s="7" t="s">
        <v>1000</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997</v>
      </c>
      <c r="S6" s="2">
        <v>26</v>
      </c>
      <c r="T6" s="7" t="s">
        <v>1001</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997</v>
      </c>
      <c r="S7" s="2">
        <v>36</v>
      </c>
      <c r="T7" s="7" t="s">
        <v>1001</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997</v>
      </c>
      <c r="S8" s="2">
        <v>37</v>
      </c>
      <c r="T8" s="7" t="s">
        <v>999</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997</v>
      </c>
      <c r="S9" s="2">
        <v>23</v>
      </c>
      <c r="T9" s="7" t="s">
        <v>999</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998</v>
      </c>
      <c r="S10" s="2">
        <v>22</v>
      </c>
      <c r="T10" s="7" t="s">
        <v>1000</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998</v>
      </c>
      <c r="S11" s="2">
        <v>42</v>
      </c>
      <c r="T11" s="7" t="s">
        <v>1000</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998</v>
      </c>
      <c r="S12" s="2">
        <v>25</v>
      </c>
      <c r="T12" s="7" t="s">
        <v>999</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998</v>
      </c>
      <c r="S13" s="2">
        <v>30</v>
      </c>
      <c r="T13" s="7" t="s">
        <v>1000</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998</v>
      </c>
      <c r="S14" s="2">
        <v>30</v>
      </c>
      <c r="T14" s="7" t="s">
        <v>1001</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998</v>
      </c>
      <c r="S15" s="2">
        <v>28</v>
      </c>
      <c r="T15" s="7" t="s">
        <v>1001</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998</v>
      </c>
      <c r="S16" s="2">
        <v>37</v>
      </c>
      <c r="T16" s="7" t="s">
        <v>1000</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998</v>
      </c>
      <c r="S17" s="2">
        <v>38</v>
      </c>
      <c r="T17" s="7" t="s">
        <v>999</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998</v>
      </c>
      <c r="S18" s="12">
        <v>43</v>
      </c>
      <c r="T18" s="13" t="s">
        <v>1000</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1003</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1004</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1005</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1006</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1007</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1008</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1009</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1010</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1011</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1012</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1013</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1014</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1015</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1016</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1017</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1018</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1019</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1020</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1021</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1022</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1023</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1024</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1025</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1026</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1027</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1028</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1029</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1030</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1031</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1032</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1033</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1034</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I7"/>
  <sheetViews>
    <sheetView zoomScale="85" zoomScaleNormal="85" workbookViewId="0">
      <selection activeCell="G13" sqref="G13"/>
    </sheetView>
  </sheetViews>
  <sheetFormatPr defaultRowHeight="14.5" x14ac:dyDescent="0.35"/>
  <cols>
    <col min="5" max="5" width="10.83203125" customWidth="1"/>
    <col min="6" max="6" width="10.25" customWidth="1"/>
  </cols>
  <sheetData>
    <row r="2" spans="5:9" x14ac:dyDescent="0.35">
      <c r="E2" t="s">
        <v>1039</v>
      </c>
      <c r="F2" t="s">
        <v>1040</v>
      </c>
    </row>
    <row r="3" spans="5:9" ht="25.5" customHeight="1" x14ac:dyDescent="0.35">
      <c r="E3" t="s">
        <v>11</v>
      </c>
      <c r="I3" t="e" vm="1">
        <v>#VALUE!</v>
      </c>
    </row>
    <row r="4" spans="5:9" ht="25.5" customHeight="1" x14ac:dyDescent="0.35">
      <c r="E4" t="s">
        <v>9</v>
      </c>
      <c r="I4" t="e" vm="2">
        <v>#VALUE!</v>
      </c>
    </row>
    <row r="5" spans="5:9" ht="25.5" customHeight="1" x14ac:dyDescent="0.35">
      <c r="E5" t="s">
        <v>6</v>
      </c>
      <c r="I5" t="e" vm="3">
        <v>#VALUE!</v>
      </c>
    </row>
    <row r="6" spans="5:9" ht="25.5" customHeight="1" x14ac:dyDescent="0.35">
      <c r="E6" t="s">
        <v>13</v>
      </c>
      <c r="I6" t="e" vm="4">
        <v>#VALUE!</v>
      </c>
    </row>
    <row r="7" spans="5:9" ht="25.5" customHeight="1" x14ac:dyDescent="0.35">
      <c r="E7" t="s">
        <v>10</v>
      </c>
      <c r="I7" t="e" vm="5">
        <v>#VALUE!</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C3027-8D0A-4C3B-9C59-F8E066DF66DD}">
  <dimension ref="A3:N91"/>
  <sheetViews>
    <sheetView topLeftCell="A61" zoomScale="55" zoomScaleNormal="55" workbookViewId="0">
      <selection activeCell="A38" sqref="A38"/>
    </sheetView>
  </sheetViews>
  <sheetFormatPr defaultRowHeight="14.5" x14ac:dyDescent="0.35"/>
  <cols>
    <col min="1" max="2" width="13" bestFit="1" customWidth="1"/>
    <col min="3" max="3" width="9.9140625" bestFit="1" customWidth="1"/>
    <col min="4" max="4" width="9.6640625" bestFit="1" customWidth="1"/>
    <col min="5" max="5" width="7.5" bestFit="1" customWidth="1"/>
    <col min="6" max="6" width="6.6640625" bestFit="1" customWidth="1"/>
    <col min="7" max="7" width="13" bestFit="1" customWidth="1"/>
    <col min="8" max="8" width="9.9140625" bestFit="1" customWidth="1"/>
    <col min="9" max="9" width="12.58203125" customWidth="1"/>
    <col min="10" max="10" width="10.4140625" customWidth="1"/>
    <col min="13" max="13" width="12.9140625" customWidth="1"/>
    <col min="14" max="14" width="8.6640625" customWidth="1"/>
  </cols>
  <sheetData>
    <row r="3" spans="1:5" x14ac:dyDescent="0.35">
      <c r="A3" t="s">
        <v>1042</v>
      </c>
      <c r="B3" t="s">
        <v>1043</v>
      </c>
      <c r="C3" t="s">
        <v>1044</v>
      </c>
      <c r="D3" t="s">
        <v>1045</v>
      </c>
      <c r="E3" t="s">
        <v>1046</v>
      </c>
    </row>
    <row r="4" spans="1:5" x14ac:dyDescent="0.35">
      <c r="A4" s="21">
        <v>1000</v>
      </c>
      <c r="B4" s="22">
        <v>96623</v>
      </c>
      <c r="C4" s="21">
        <v>89850</v>
      </c>
      <c r="D4" s="23">
        <v>3.8854000000000033</v>
      </c>
      <c r="E4" s="21">
        <v>307</v>
      </c>
    </row>
    <row r="9" spans="1:5" x14ac:dyDescent="0.35">
      <c r="A9" t="s">
        <v>1042</v>
      </c>
      <c r="B9" t="s">
        <v>1043</v>
      </c>
      <c r="C9" t="s">
        <v>1044</v>
      </c>
      <c r="D9" t="s">
        <v>1045</v>
      </c>
      <c r="E9" t="s">
        <v>1046</v>
      </c>
    </row>
    <row r="10" spans="1:5" x14ac:dyDescent="0.35">
      <c r="A10" s="21">
        <v>189</v>
      </c>
      <c r="B10" s="26">
        <v>18415</v>
      </c>
      <c r="C10" s="21">
        <v>16834</v>
      </c>
      <c r="D10" s="23">
        <v>3.9227513227513247</v>
      </c>
      <c r="E10" s="21">
        <v>60</v>
      </c>
    </row>
    <row r="21" spans="1:8" x14ac:dyDescent="0.35">
      <c r="A21" s="24" t="s">
        <v>1047</v>
      </c>
      <c r="B21" t="s">
        <v>1042</v>
      </c>
      <c r="C21" t="s">
        <v>1061</v>
      </c>
      <c r="G21" s="24" t="s">
        <v>1047</v>
      </c>
      <c r="H21" t="s">
        <v>1042</v>
      </c>
    </row>
    <row r="22" spans="1:8" x14ac:dyDescent="0.35">
      <c r="A22" s="25" t="s">
        <v>1049</v>
      </c>
      <c r="B22" s="21">
        <v>16</v>
      </c>
      <c r="C22" s="21">
        <v>16</v>
      </c>
      <c r="G22" s="25" t="s">
        <v>1065</v>
      </c>
      <c r="H22" s="21">
        <v>36</v>
      </c>
    </row>
    <row r="23" spans="1:8" x14ac:dyDescent="0.35">
      <c r="A23" s="25" t="s">
        <v>1050</v>
      </c>
      <c r="B23" s="21">
        <v>14</v>
      </c>
      <c r="C23" s="21">
        <v>14</v>
      </c>
      <c r="G23" s="25" t="s">
        <v>1063</v>
      </c>
      <c r="H23" s="21">
        <v>30</v>
      </c>
    </row>
    <row r="24" spans="1:8" x14ac:dyDescent="0.35">
      <c r="A24" s="25" t="s">
        <v>1051</v>
      </c>
      <c r="B24" s="21">
        <v>26</v>
      </c>
      <c r="C24" s="21">
        <v>26</v>
      </c>
      <c r="G24" s="25" t="s">
        <v>1067</v>
      </c>
      <c r="H24" s="21">
        <v>13</v>
      </c>
    </row>
    <row r="25" spans="1:8" x14ac:dyDescent="0.35">
      <c r="A25" s="25" t="s">
        <v>1052</v>
      </c>
      <c r="B25" s="21">
        <v>29</v>
      </c>
      <c r="C25" s="21">
        <v>29</v>
      </c>
      <c r="G25" s="25" t="s">
        <v>1068</v>
      </c>
      <c r="H25" s="21">
        <v>23</v>
      </c>
    </row>
    <row r="26" spans="1:8" x14ac:dyDescent="0.35">
      <c r="A26" s="25" t="s">
        <v>1053</v>
      </c>
      <c r="B26" s="21">
        <v>17</v>
      </c>
      <c r="C26" s="21">
        <v>17</v>
      </c>
      <c r="G26" s="25" t="s">
        <v>1066</v>
      </c>
      <c r="H26" s="21">
        <v>23</v>
      </c>
    </row>
    <row r="27" spans="1:8" x14ac:dyDescent="0.35">
      <c r="A27" s="25" t="s">
        <v>1054</v>
      </c>
      <c r="B27" s="21">
        <v>15</v>
      </c>
      <c r="C27" s="21">
        <v>15</v>
      </c>
      <c r="G27" s="25" t="s">
        <v>1062</v>
      </c>
      <c r="H27" s="21">
        <v>24</v>
      </c>
    </row>
    <row r="28" spans="1:8" x14ac:dyDescent="0.35">
      <c r="A28" s="25" t="s">
        <v>1055</v>
      </c>
      <c r="B28" s="21">
        <v>15</v>
      </c>
      <c r="C28" s="21">
        <v>15</v>
      </c>
      <c r="G28" s="25" t="s">
        <v>1064</v>
      </c>
      <c r="H28" s="21">
        <v>40</v>
      </c>
    </row>
    <row r="29" spans="1:8" x14ac:dyDescent="0.35">
      <c r="A29" s="25" t="s">
        <v>1056</v>
      </c>
      <c r="B29" s="21">
        <v>7</v>
      </c>
      <c r="C29" s="21">
        <v>7</v>
      </c>
      <c r="G29" s="25" t="s">
        <v>1048</v>
      </c>
      <c r="H29" s="21">
        <v>189</v>
      </c>
    </row>
    <row r="30" spans="1:8" x14ac:dyDescent="0.35">
      <c r="A30" s="25" t="s">
        <v>1057</v>
      </c>
      <c r="B30" s="21">
        <v>11</v>
      </c>
      <c r="C30" s="21">
        <v>11</v>
      </c>
    </row>
    <row r="31" spans="1:8" x14ac:dyDescent="0.35">
      <c r="A31" s="25" t="s">
        <v>1058</v>
      </c>
      <c r="B31" s="21">
        <v>24</v>
      </c>
      <c r="C31" s="21">
        <v>24</v>
      </c>
    </row>
    <row r="32" spans="1:8" x14ac:dyDescent="0.35">
      <c r="A32" s="25" t="s">
        <v>1059</v>
      </c>
      <c r="B32" s="21">
        <v>9</v>
      </c>
      <c r="C32" s="21">
        <v>9</v>
      </c>
    </row>
    <row r="33" spans="1:14" x14ac:dyDescent="0.35">
      <c r="A33" s="25" t="s">
        <v>1060</v>
      </c>
      <c r="B33" s="21">
        <v>6</v>
      </c>
      <c r="C33" s="21">
        <v>6</v>
      </c>
    </row>
    <row r="34" spans="1:14" x14ac:dyDescent="0.35">
      <c r="A34" s="25" t="s">
        <v>1048</v>
      </c>
      <c r="B34" s="21">
        <v>189</v>
      </c>
      <c r="C34" s="21">
        <v>189</v>
      </c>
    </row>
    <row r="40" spans="1:14" x14ac:dyDescent="0.35">
      <c r="F40" t="s">
        <v>1069</v>
      </c>
      <c r="I40" t="s">
        <v>1075</v>
      </c>
      <c r="J40" t="str">
        <f>A55</f>
        <v>R01</v>
      </c>
      <c r="M40" t="s">
        <v>1078</v>
      </c>
    </row>
    <row r="42" spans="1:14" x14ac:dyDescent="0.35">
      <c r="F42" t="s">
        <v>1070</v>
      </c>
      <c r="G42" t="s">
        <v>1071</v>
      </c>
      <c r="H42" t="s">
        <v>1072</v>
      </c>
      <c r="I42" t="s">
        <v>1073</v>
      </c>
      <c r="J42" t="s">
        <v>1074</v>
      </c>
      <c r="M42" t="s">
        <v>1079</v>
      </c>
      <c r="N42" s="36">
        <f>GETPIVOTDATA("[Measures].[Call Count]",$A$9)/GETPIVOTDATA("[Measures].[Call Count]",$A$3)</f>
        <v>0.189</v>
      </c>
    </row>
    <row r="43" spans="1:14" x14ac:dyDescent="0.35">
      <c r="A43" s="24" t="s">
        <v>1047</v>
      </c>
      <c r="B43" t="s">
        <v>1042</v>
      </c>
      <c r="C43" t="s">
        <v>1043</v>
      </c>
      <c r="F43" t="str" cm="1">
        <f t="array" ref="F43:H47">A44:C48</f>
        <v>R01</v>
      </c>
      <c r="G43">
        <v>189</v>
      </c>
      <c r="H43" s="27">
        <v>18415</v>
      </c>
      <c r="I43">
        <f>IF(F43 = J40,G43,NA())</f>
        <v>189</v>
      </c>
      <c r="J43">
        <f>IF(F43=J40,H43,NA())</f>
        <v>18415</v>
      </c>
      <c r="M43" t="s">
        <v>1080</v>
      </c>
      <c r="N43">
        <f>_xlfn.XLOOKUP(A55,F43:F47,G43:G47)</f>
        <v>189</v>
      </c>
    </row>
    <row r="44" spans="1:14" x14ac:dyDescent="0.35">
      <c r="A44" s="25" t="s">
        <v>11</v>
      </c>
      <c r="B44" s="21">
        <v>189</v>
      </c>
      <c r="C44" s="26">
        <v>18415</v>
      </c>
      <c r="F44" t="str">
        <v>R02</v>
      </c>
      <c r="G44">
        <v>218</v>
      </c>
      <c r="H44" s="27">
        <v>20581</v>
      </c>
      <c r="I44" t="e">
        <f>IF(F44=J40,G44,NA())</f>
        <v>#N/A</v>
      </c>
      <c r="J44" t="e">
        <f>IF(F44=J40,H44,NA())</f>
        <v>#N/A</v>
      </c>
      <c r="M44" t="s">
        <v>1081</v>
      </c>
      <c r="N44">
        <f>_xlfn.XLOOKUP(A55,F43:F47,H43:H47)</f>
        <v>18415</v>
      </c>
    </row>
    <row r="45" spans="1:14" x14ac:dyDescent="0.35">
      <c r="A45" s="25" t="s">
        <v>9</v>
      </c>
      <c r="B45" s="21">
        <v>218</v>
      </c>
      <c r="C45" s="26">
        <v>20581</v>
      </c>
      <c r="F45" t="str">
        <v>R03</v>
      </c>
      <c r="G45">
        <v>207</v>
      </c>
      <c r="H45" s="27">
        <v>20872</v>
      </c>
      <c r="I45" t="e">
        <f>IF(F45=J40,G45,NA())</f>
        <v>#N/A</v>
      </c>
      <c r="J45" t="e">
        <f>IF(F45=J40,H45,NA())</f>
        <v>#N/A</v>
      </c>
    </row>
    <row r="46" spans="1:14" x14ac:dyDescent="0.35">
      <c r="A46" s="25" t="s">
        <v>6</v>
      </c>
      <c r="B46" s="21">
        <v>207</v>
      </c>
      <c r="C46" s="26">
        <v>20872</v>
      </c>
      <c r="F46" t="str">
        <v>R04</v>
      </c>
      <c r="G46">
        <v>186</v>
      </c>
      <c r="H46" s="27">
        <v>16651</v>
      </c>
      <c r="I46" t="e">
        <f>IF(F46=J40,G46,NA())</f>
        <v>#N/A</v>
      </c>
      <c r="J46" t="e">
        <f>IF(F46=J40,H46,NA())</f>
        <v>#N/A</v>
      </c>
      <c r="M46" t="s">
        <v>1082</v>
      </c>
      <c r="N46">
        <f>_xlfn.RANK.AVG(N43,G43:G47)</f>
        <v>4</v>
      </c>
    </row>
    <row r="47" spans="1:14" x14ac:dyDescent="0.35">
      <c r="A47" s="25" t="s">
        <v>13</v>
      </c>
      <c r="B47" s="21">
        <v>186</v>
      </c>
      <c r="C47" s="26">
        <v>16651</v>
      </c>
      <c r="F47" t="str">
        <v>R05</v>
      </c>
      <c r="G47">
        <v>200</v>
      </c>
      <c r="H47" s="27">
        <v>20104</v>
      </c>
      <c r="I47" t="e">
        <f>IF(F47=J40,G47,NA())</f>
        <v>#N/A</v>
      </c>
      <c r="J47" t="e">
        <f>IF(F47=J40,H47,NA())</f>
        <v>#N/A</v>
      </c>
      <c r="M47" t="s">
        <v>1083</v>
      </c>
      <c r="N47">
        <f>_xlfn.RANK.AVG(N44,H43:H47)</f>
        <v>4</v>
      </c>
    </row>
    <row r="48" spans="1:14" x14ac:dyDescent="0.35">
      <c r="A48" s="25" t="s">
        <v>10</v>
      </c>
      <c r="B48" s="21">
        <v>200</v>
      </c>
      <c r="C48" s="26">
        <v>20104</v>
      </c>
    </row>
    <row r="49" spans="1:14" x14ac:dyDescent="0.35">
      <c r="A49" s="25" t="s">
        <v>1048</v>
      </c>
      <c r="B49" s="21">
        <v>1000</v>
      </c>
      <c r="C49" s="26">
        <v>96623</v>
      </c>
    </row>
    <row r="50" spans="1:14" x14ac:dyDescent="0.35">
      <c r="M50" t="s">
        <v>1084</v>
      </c>
    </row>
    <row r="51" spans="1:14" x14ac:dyDescent="0.35">
      <c r="N51" t="str">
        <f>"% of Calls:"&amp;TEXT(N42,"0%")</f>
        <v>% of Calls:19%</v>
      </c>
    </row>
    <row r="52" spans="1:14" x14ac:dyDescent="0.35">
      <c r="N52" t="str">
        <f>IF(COUNTA(A55:A59)&gt;1,"","Call Rank:"&amp;N46)</f>
        <v>Call Rank:4</v>
      </c>
    </row>
    <row r="53" spans="1:14" x14ac:dyDescent="0.35">
      <c r="N53" t="str">
        <f>IF(COUNTA(A55:A59)&gt;1,"","Amount Rank:"&amp;N47)</f>
        <v>Amount Rank:4</v>
      </c>
    </row>
    <row r="54" spans="1:14" x14ac:dyDescent="0.35">
      <c r="A54" s="24" t="s">
        <v>1047</v>
      </c>
      <c r="B54" s="24" t="s">
        <v>1042</v>
      </c>
      <c r="C54" s="24" t="s">
        <v>1076</v>
      </c>
    </row>
    <row r="55" spans="1:14" x14ac:dyDescent="0.35">
      <c r="A55" s="28" t="s">
        <v>11</v>
      </c>
      <c r="B55" s="24" t="s">
        <v>1047</v>
      </c>
      <c r="C55" t="s">
        <v>998</v>
      </c>
      <c r="D55" t="s">
        <v>997</v>
      </c>
      <c r="E55" t="s">
        <v>1048</v>
      </c>
    </row>
    <row r="56" spans="1:14" x14ac:dyDescent="0.35">
      <c r="B56" s="25" t="s">
        <v>1001</v>
      </c>
      <c r="C56" s="21">
        <v>144</v>
      </c>
      <c r="D56" s="21">
        <v>132</v>
      </c>
      <c r="E56" s="21">
        <v>276</v>
      </c>
      <c r="M56" t="s">
        <v>1085</v>
      </c>
      <c r="N56">
        <f>_xlfn.XLOOKUP(A55,Assets!E3:E7,Assets!F3:F7)</f>
        <v>0</v>
      </c>
    </row>
    <row r="57" spans="1:14" x14ac:dyDescent="0.35">
      <c r="B57" s="25" t="s">
        <v>1000</v>
      </c>
      <c r="C57" s="21">
        <v>326</v>
      </c>
      <c r="D57" s="21">
        <v>63</v>
      </c>
      <c r="E57" s="21">
        <v>389</v>
      </c>
    </row>
    <row r="58" spans="1:14" x14ac:dyDescent="0.35">
      <c r="B58" s="25" t="s">
        <v>999</v>
      </c>
      <c r="C58" s="21">
        <v>129</v>
      </c>
      <c r="D58" s="21">
        <v>206</v>
      </c>
      <c r="E58" s="21">
        <v>335</v>
      </c>
    </row>
    <row r="59" spans="1:14" x14ac:dyDescent="0.35">
      <c r="B59" s="25" t="s">
        <v>1048</v>
      </c>
      <c r="C59" s="21">
        <v>599</v>
      </c>
      <c r="D59" s="21">
        <v>401</v>
      </c>
      <c r="E59" s="21">
        <v>1000</v>
      </c>
    </row>
    <row r="63" spans="1:14" x14ac:dyDescent="0.35">
      <c r="B63" s="24" t="s">
        <v>1047</v>
      </c>
      <c r="C63" t="s">
        <v>1042</v>
      </c>
    </row>
    <row r="64" spans="1:14" x14ac:dyDescent="0.35">
      <c r="B64" s="25">
        <v>1</v>
      </c>
      <c r="C64" s="21">
        <v>1</v>
      </c>
    </row>
    <row r="65" spans="2:8" x14ac:dyDescent="0.35">
      <c r="B65" s="25">
        <v>2</v>
      </c>
      <c r="C65" s="21">
        <v>9</v>
      </c>
    </row>
    <row r="66" spans="2:8" x14ac:dyDescent="0.35">
      <c r="B66" s="25">
        <v>3</v>
      </c>
      <c r="C66" s="21">
        <v>31</v>
      </c>
    </row>
    <row r="67" spans="2:8" x14ac:dyDescent="0.35">
      <c r="B67" s="25">
        <v>4</v>
      </c>
      <c r="C67" s="21">
        <v>88</v>
      </c>
    </row>
    <row r="68" spans="2:8" x14ac:dyDescent="0.35">
      <c r="B68" s="25">
        <v>5</v>
      </c>
      <c r="C68" s="21">
        <v>60</v>
      </c>
    </row>
    <row r="69" spans="2:8" x14ac:dyDescent="0.35">
      <c r="B69" s="25" t="s">
        <v>1048</v>
      </c>
      <c r="C69" s="21">
        <v>189</v>
      </c>
    </row>
    <row r="72" spans="2:8" x14ac:dyDescent="0.35">
      <c r="B72" s="24" t="s">
        <v>1043</v>
      </c>
      <c r="C72" s="24" t="s">
        <v>1076</v>
      </c>
    </row>
    <row r="73" spans="2:8" x14ac:dyDescent="0.35">
      <c r="B73" s="24" t="s">
        <v>1047</v>
      </c>
      <c r="C73" t="s">
        <v>11</v>
      </c>
      <c r="D73" t="s">
        <v>9</v>
      </c>
      <c r="E73" t="s">
        <v>6</v>
      </c>
      <c r="F73" t="s">
        <v>13</v>
      </c>
      <c r="G73" t="s">
        <v>10</v>
      </c>
      <c r="H73" t="s">
        <v>1048</v>
      </c>
    </row>
    <row r="74" spans="2:8" x14ac:dyDescent="0.35">
      <c r="B74" s="25" t="s">
        <v>1001</v>
      </c>
      <c r="C74" s="29"/>
      <c r="D74" s="29"/>
      <c r="E74" s="29"/>
      <c r="F74" s="29"/>
      <c r="G74" s="29"/>
      <c r="H74" s="29"/>
    </row>
    <row r="75" spans="2:8" x14ac:dyDescent="0.35">
      <c r="B75" s="30" t="s">
        <v>20</v>
      </c>
      <c r="C75" s="26">
        <v>891</v>
      </c>
      <c r="D75" s="26">
        <v>1332</v>
      </c>
      <c r="E75" s="26">
        <v>1282</v>
      </c>
      <c r="F75" s="26">
        <v>739</v>
      </c>
      <c r="G75" s="26">
        <v>560</v>
      </c>
      <c r="H75" s="26">
        <v>4804</v>
      </c>
    </row>
    <row r="76" spans="2:8" x14ac:dyDescent="0.35">
      <c r="B76" s="30" t="s">
        <v>12</v>
      </c>
      <c r="C76" s="26">
        <v>1991</v>
      </c>
      <c r="D76" s="26">
        <v>1886</v>
      </c>
      <c r="E76" s="26">
        <v>1206</v>
      </c>
      <c r="F76" s="26">
        <v>884</v>
      </c>
      <c r="G76" s="26">
        <v>1722</v>
      </c>
      <c r="H76" s="26">
        <v>7689</v>
      </c>
    </row>
    <row r="77" spans="2:8" x14ac:dyDescent="0.35">
      <c r="B77" s="30" t="s">
        <v>8</v>
      </c>
      <c r="C77" s="26">
        <v>1163</v>
      </c>
      <c r="D77" s="26">
        <v>1180</v>
      </c>
      <c r="E77" s="26">
        <v>1616</v>
      </c>
      <c r="F77" s="26">
        <v>1043</v>
      </c>
      <c r="G77" s="26">
        <v>1747</v>
      </c>
      <c r="H77" s="26">
        <v>6749</v>
      </c>
    </row>
    <row r="78" spans="2:8" x14ac:dyDescent="0.35">
      <c r="B78" s="30" t="s">
        <v>16</v>
      </c>
      <c r="C78" s="26">
        <v>1438</v>
      </c>
      <c r="D78" s="26">
        <v>1616</v>
      </c>
      <c r="E78" s="26">
        <v>866</v>
      </c>
      <c r="F78" s="26">
        <v>829</v>
      </c>
      <c r="G78" s="26">
        <v>2070</v>
      </c>
      <c r="H78" s="26">
        <v>6819</v>
      </c>
    </row>
    <row r="79" spans="2:8" x14ac:dyDescent="0.35">
      <c r="B79" s="25" t="s">
        <v>1000</v>
      </c>
      <c r="C79" s="29"/>
      <c r="D79" s="29"/>
      <c r="E79" s="29"/>
      <c r="F79" s="29"/>
      <c r="G79" s="29"/>
      <c r="H79" s="29"/>
    </row>
    <row r="80" spans="2:8" x14ac:dyDescent="0.35">
      <c r="B80" s="30" t="s">
        <v>24</v>
      </c>
      <c r="C80" s="26">
        <v>1233</v>
      </c>
      <c r="D80" s="26">
        <v>223</v>
      </c>
      <c r="E80" s="26">
        <v>1680</v>
      </c>
      <c r="F80" s="26">
        <v>990</v>
      </c>
      <c r="G80" s="26">
        <v>1508</v>
      </c>
      <c r="H80" s="26">
        <v>5634</v>
      </c>
    </row>
    <row r="81" spans="2:8" x14ac:dyDescent="0.35">
      <c r="B81" s="30" t="s">
        <v>15</v>
      </c>
      <c r="C81" s="26">
        <v>1598</v>
      </c>
      <c r="D81" s="26">
        <v>1907</v>
      </c>
      <c r="E81" s="26">
        <v>869</v>
      </c>
      <c r="F81" s="26">
        <v>1426</v>
      </c>
      <c r="G81" s="26">
        <v>1416</v>
      </c>
      <c r="H81" s="26">
        <v>7216</v>
      </c>
    </row>
    <row r="82" spans="2:8" x14ac:dyDescent="0.35">
      <c r="B82" s="30" t="s">
        <v>5</v>
      </c>
      <c r="C82" s="26">
        <v>900</v>
      </c>
      <c r="D82" s="26">
        <v>1016</v>
      </c>
      <c r="E82" s="26">
        <v>960</v>
      </c>
      <c r="F82" s="26">
        <v>940</v>
      </c>
      <c r="G82" s="26">
        <v>1193</v>
      </c>
      <c r="H82" s="26">
        <v>5009</v>
      </c>
    </row>
    <row r="83" spans="2:8" x14ac:dyDescent="0.35">
      <c r="B83" s="30" t="s">
        <v>18</v>
      </c>
      <c r="C83" s="26">
        <v>900</v>
      </c>
      <c r="D83" s="26">
        <v>1470</v>
      </c>
      <c r="E83" s="26">
        <v>1617</v>
      </c>
      <c r="F83" s="26">
        <v>1314</v>
      </c>
      <c r="G83" s="26">
        <v>941</v>
      </c>
      <c r="H83" s="26">
        <v>6242</v>
      </c>
    </row>
    <row r="84" spans="2:8" x14ac:dyDescent="0.35">
      <c r="B84" s="30" t="s">
        <v>14</v>
      </c>
      <c r="C84" s="26">
        <v>1255</v>
      </c>
      <c r="D84" s="26">
        <v>516</v>
      </c>
      <c r="E84" s="26">
        <v>1874</v>
      </c>
      <c r="F84" s="26">
        <v>1863</v>
      </c>
      <c r="G84" s="26">
        <v>1722</v>
      </c>
      <c r="H84" s="26">
        <v>7230</v>
      </c>
    </row>
    <row r="85" spans="2:8" x14ac:dyDescent="0.35">
      <c r="B85" s="30" t="s">
        <v>19</v>
      </c>
      <c r="C85" s="26">
        <v>1138</v>
      </c>
      <c r="D85" s="26">
        <v>1898</v>
      </c>
      <c r="E85" s="26">
        <v>1482</v>
      </c>
      <c r="F85" s="26">
        <v>846</v>
      </c>
      <c r="G85" s="26">
        <v>1154</v>
      </c>
      <c r="H85" s="26">
        <v>6518</v>
      </c>
    </row>
    <row r="86" spans="2:8" x14ac:dyDescent="0.35">
      <c r="B86" s="25" t="s">
        <v>999</v>
      </c>
      <c r="C86" s="29"/>
      <c r="D86" s="29"/>
      <c r="E86" s="29"/>
      <c r="F86" s="29"/>
      <c r="G86" s="29"/>
      <c r="H86" s="29"/>
    </row>
    <row r="87" spans="2:8" x14ac:dyDescent="0.35">
      <c r="B87" s="30" t="s">
        <v>17</v>
      </c>
      <c r="C87" s="26">
        <v>1655</v>
      </c>
      <c r="D87" s="26">
        <v>805</v>
      </c>
      <c r="E87" s="26">
        <v>2263</v>
      </c>
      <c r="F87" s="26">
        <v>987</v>
      </c>
      <c r="G87" s="26">
        <v>1075</v>
      </c>
      <c r="H87" s="26">
        <v>6785</v>
      </c>
    </row>
    <row r="88" spans="2:8" x14ac:dyDescent="0.35">
      <c r="B88" s="30" t="s">
        <v>23</v>
      </c>
      <c r="C88" s="26">
        <v>1104</v>
      </c>
      <c r="D88" s="26">
        <v>2280</v>
      </c>
      <c r="E88" s="26">
        <v>1445</v>
      </c>
      <c r="F88" s="26">
        <v>1722</v>
      </c>
      <c r="G88" s="26">
        <v>1196</v>
      </c>
      <c r="H88" s="26">
        <v>7747</v>
      </c>
    </row>
    <row r="89" spans="2:8" x14ac:dyDescent="0.35">
      <c r="B89" s="30" t="s">
        <v>7</v>
      </c>
      <c r="C89" s="26">
        <v>372</v>
      </c>
      <c r="D89" s="26">
        <v>1818</v>
      </c>
      <c r="E89" s="26">
        <v>1346</v>
      </c>
      <c r="F89" s="26">
        <v>1156</v>
      </c>
      <c r="G89" s="26">
        <v>1484</v>
      </c>
      <c r="H89" s="26">
        <v>6176</v>
      </c>
    </row>
    <row r="90" spans="2:8" x14ac:dyDescent="0.35">
      <c r="B90" s="30" t="s">
        <v>22</v>
      </c>
      <c r="C90" s="26">
        <v>1415</v>
      </c>
      <c r="D90" s="26">
        <v>1271</v>
      </c>
      <c r="E90" s="26">
        <v>1214</v>
      </c>
      <c r="F90" s="26">
        <v>1135</v>
      </c>
      <c r="G90" s="26">
        <v>1566</v>
      </c>
      <c r="H90" s="26">
        <v>6601</v>
      </c>
    </row>
    <row r="91" spans="2:8" x14ac:dyDescent="0.35">
      <c r="B91" s="30" t="s">
        <v>21</v>
      </c>
      <c r="C91" s="26">
        <v>1362</v>
      </c>
      <c r="D91" s="26">
        <v>1363</v>
      </c>
      <c r="E91" s="26">
        <v>1152</v>
      </c>
      <c r="F91" s="26">
        <v>777</v>
      </c>
      <c r="G91" s="26">
        <v>750</v>
      </c>
      <c r="H91" s="26">
        <v>5404</v>
      </c>
    </row>
  </sheetData>
  <pageMargins left="0.7" right="0.7" top="0.75" bottom="0.75" header="0.3" footer="0.3"/>
  <pageSetup orientation="portrait"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D55D60-2E26-4F49-B991-F913D42D5A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 Centre Report</vt:lpstr>
      <vt:lpstr>Data</vt:lpstr>
      <vt:lpstr>Assets</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Yasar Arafath</cp:lastModifiedBy>
  <dcterms:created xsi:type="dcterms:W3CDTF">2021-03-14T20:21:32Z</dcterms:created>
  <dcterms:modified xsi:type="dcterms:W3CDTF">2025-10-18T11:42:22Z</dcterms:modified>
</cp:coreProperties>
</file>